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Dashboard" sheetId="2" state="visible" r:id="rId2"/>
    <sheet name="Assessment" sheetId="3" state="visible" r:id="rId3"/>
    <sheet name="Domain Summary" sheetId="4" state="visible" r:id="rId4"/>
    <sheet name="Evidence" sheetId="5" state="visible" r:id="rId5"/>
    <sheet name="POA&amp;M" sheetId="6" state="visible" r:id="rId6"/>
    <sheet name="SSP Crosswalk" sheetId="7" state="visible" r:id="rId7"/>
    <sheet name="Assessment History" sheetId="8" state="visible" r:id="rId8"/>
    <sheet name="Executive Report" sheetId="9" state="visible" r:id="rId9"/>
    <sheet name="Settings" sheetId="10" state="visible" r:id="rId10"/>
    <sheet name="_Lists" sheetId="11" state="veryHidden" r:id="rId11"/>
  </sheets>
  <definedNames>
    <definedName name="_xlnm._FilterDatabase" localSheetId="2" hidden="1">'Assessment'!$A$5:$V$115</definedName>
    <definedName name="_xlnm.Print_Titles" localSheetId="2">'Assessment'!$1:$5</definedName>
    <definedName name="_xlnm.Print_Area" localSheetId="2">'Assessment'!$A$1:$V$115</definedName>
    <definedName name="_xlnm._FilterDatabase" localSheetId="3" hidden="1">'Domain Summary'!$A$5:$J$19</definedName>
    <definedName name="_xlnm._FilterDatabase" localSheetId="4" hidden="1">'Evidence'!$A$5:$P$505</definedName>
    <definedName name="_xlnm.Print_Titles" localSheetId="4">'Evidence'!$1:$5</definedName>
    <definedName name="_xlnm.Print_Area" localSheetId="4">'Evidence'!$A$1:$P$505</definedName>
    <definedName name="_xlnm._FilterDatabase" localSheetId="5" hidden="1">'POA&amp;M'!$A$5:$X$305</definedName>
    <definedName name="_xlnm.Print_Titles" localSheetId="5">'POA&amp;M'!$1:$5</definedName>
    <definedName name="_xlnm.Print_Area" localSheetId="5">'POA&amp;M'!$A$1:$X$305</definedName>
  </definedNames>
  <calcPr calcId="124519" calcMode="auto" fullCalcOnLoad="1" forceFullCalc="1"/>
</workbook>
</file>

<file path=xl/styles.xml><?xml version="1.0" encoding="utf-8"?>
<styleSheet xmlns="http://schemas.openxmlformats.org/spreadsheetml/2006/main">
  <numFmts count="1">
    <numFmt numFmtId="164" formatCode="mm/dd/yyyy"/>
  </numFmts>
  <fonts count="7">
    <font>
      <name val="Calibri"/>
      <family val="2"/>
      <color theme="1"/>
      <sz val="11"/>
      <scheme val="minor"/>
    </font>
    <font>
      <name val="Aptos Display"/>
      <b val="1"/>
      <color rgb="00FFFFFF"/>
      <sz val="24"/>
    </font>
    <font>
      <name val="Aptos"/>
      <color rgb="00FFFFFF"/>
      <sz val="12"/>
    </font>
    <font>
      <name val="Aptos"/>
      <b val="1"/>
      <color rgb="00FFFFFF"/>
      <sz val="10"/>
    </font>
    <font>
      <name val="Aptos"/>
      <color rgb="002F75B5"/>
      <sz val="10"/>
    </font>
    <font>
      <name val="Aptos Display"/>
      <b val="1"/>
      <color rgb="00FFFFFF"/>
      <sz val="14"/>
    </font>
    <font>
      <name val="Aptos"/>
      <color rgb="00000000"/>
      <sz val="10"/>
    </font>
  </fonts>
  <fills count="8">
    <fill>
      <patternFill/>
    </fill>
    <fill>
      <patternFill patternType="gray125"/>
    </fill>
    <fill>
      <patternFill patternType="solid">
        <fgColor rgb="000B1F33"/>
      </patternFill>
    </fill>
    <fill>
      <patternFill patternType="solid">
        <fgColor rgb="0017365D"/>
      </patternFill>
    </fill>
    <fill>
      <patternFill patternType="solid">
        <fgColor rgb="00FFFDEB"/>
      </patternFill>
    </fill>
    <fill>
      <patternFill patternType="solid">
        <fgColor rgb="00D9EAF7"/>
      </patternFill>
    </fill>
    <fill>
      <patternFill patternType="solid">
        <fgColor rgb="002F75B5"/>
      </patternFill>
    </fill>
    <fill>
      <patternFill patternType="solid">
        <fgColor rgb="00F4F6F7"/>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25">
    <xf numFmtId="0" fontId="0" fillId="0" borderId="0" pivotButton="0" quotePrefix="0" xfId="0"/>
    <xf numFmtId="0" fontId="1" fillId="2" borderId="0" applyAlignment="1" pivotButton="0" quotePrefix="0" xfId="0">
      <alignment horizontal="left" vertical="top" wrapText="1"/>
    </xf>
    <xf numFmtId="0" fontId="0" fillId="2" borderId="0" pivotButton="0" quotePrefix="0" xfId="0"/>
    <xf numFmtId="0" fontId="2" fillId="2" borderId="0" applyAlignment="1" pivotButton="0" quotePrefix="0" xfId="0">
      <alignment horizontal="left" vertical="top" wrapText="1"/>
    </xf>
    <xf numFmtId="0" fontId="3" fillId="3" borderId="1" applyAlignment="1" pivotButton="0" quotePrefix="0" xfId="0">
      <alignment horizontal="left" vertical="top" wrapText="1"/>
    </xf>
    <xf numFmtId="0" fontId="4" fillId="4" borderId="1" applyAlignment="1" applyProtection="1" pivotButton="0" quotePrefix="0" xfId="0">
      <alignment horizontal="left" vertical="top" wrapText="1"/>
      <protection locked="0" hidden="0"/>
    </xf>
    <xf numFmtId="0" fontId="5" fillId="3" borderId="0" pivotButton="0" quotePrefix="0" xfId="0"/>
    <xf numFmtId="0" fontId="6" fillId="5" borderId="1" applyAlignment="1" pivotButton="0" quotePrefix="0" xfId="0">
      <alignment horizontal="left" vertical="top" wrapText="1"/>
    </xf>
    <xf numFmtId="0" fontId="3" fillId="6" borderId="1" applyAlignment="1" pivotButton="0" quotePrefix="0" xfId="0">
      <alignment horizontal="center" vertical="center" wrapText="1"/>
    </xf>
    <xf numFmtId="0" fontId="1" fillId="3" borderId="1" applyAlignment="1" pivotButton="0" quotePrefix="0" xfId="0">
      <alignment horizontal="center" vertical="center" wrapText="1"/>
    </xf>
    <xf numFmtId="9" fontId="0" fillId="7" borderId="1" applyAlignment="1" pivotButton="0" quotePrefix="0" xfId="0">
      <alignment horizontal="center" vertical="center" wrapText="1"/>
    </xf>
    <xf numFmtId="1" fontId="0" fillId="7" borderId="1" applyAlignment="1" pivotButton="0" quotePrefix="0" xfId="0">
      <alignment horizontal="center" vertical="center" wrapText="1"/>
    </xf>
    <xf numFmtId="0" fontId="3" fillId="6" borderId="1" pivotButton="0" quotePrefix="0" xfId="0"/>
    <xf numFmtId="0" fontId="0" fillId="7" borderId="1" applyAlignment="1" pivotButton="0" quotePrefix="0" xfId="0">
      <alignment horizontal="center" vertical="center" wrapText="1"/>
    </xf>
    <xf numFmtId="10" fontId="0" fillId="0" borderId="0" pivotButton="0" quotePrefix="0" xfId="0"/>
    <xf numFmtId="0" fontId="6" fillId="0" borderId="1" applyAlignment="1" pivotButton="0" quotePrefix="0" xfId="0">
      <alignment horizontal="left" vertical="top" wrapText="1"/>
    </xf>
    <xf numFmtId="0" fontId="6" fillId="4" borderId="1" applyAlignment="1" applyProtection="1" pivotButton="0" quotePrefix="0" xfId="0">
      <alignment horizontal="left" vertical="top" wrapText="1"/>
      <protection locked="0" hidden="0"/>
    </xf>
    <xf numFmtId="0" fontId="6" fillId="7" borderId="1" applyAlignment="1" pivotButton="0" quotePrefix="0" xfId="0">
      <alignment horizontal="left"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164" fontId="6" fillId="4" borderId="1" applyAlignment="1" applyProtection="1" pivotButton="0" quotePrefix="0" xfId="0">
      <alignment horizontal="left" vertical="top" wrapText="1"/>
      <protection locked="0" hidden="0"/>
    </xf>
    <xf numFmtId="1" fontId="6" fillId="7" borderId="1" applyAlignment="1" pivotButton="0" quotePrefix="0" xfId="0">
      <alignment horizontal="left" vertical="top" wrapText="1"/>
    </xf>
    <xf numFmtId="0" fontId="6" fillId="5" borderId="1" applyAlignment="1" pivotButton="0" quotePrefix="0" xfId="0">
      <alignment horizontal="center" vertical="center" wrapText="1"/>
    </xf>
    <xf numFmtId="0" fontId="3" fillId="3" borderId="1" pivotButton="0" quotePrefix="0" xfId="0"/>
    <xf numFmtId="0" fontId="6" fillId="7" borderId="1" pivotButton="0" quotePrefix="0" xfId="0"/>
  </cellXfs>
  <cellStyles count="1">
    <cellStyle name="Normal" xfId="0" builtinId="0" hidden="0"/>
  </cellStyles>
  <dxfs count="3">
    <dxf>
      <fill>
        <patternFill patternType="solid">
          <fgColor rgb="00E2F0D9"/>
        </patternFill>
      </fill>
    </dxf>
    <dxf>
      <fill>
        <patternFill patternType="solid">
          <fgColor rgb="00F4CCCC"/>
        </patternFill>
      </fill>
    </dxf>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J24"/>
  <sheetViews>
    <sheetView showGridLines="0" zoomScale="90" workbookViewId="0">
      <selection activeCell="A1" sqref="A1"/>
    </sheetView>
  </sheetViews>
  <sheetFormatPr baseColWidth="8" defaultRowHeight="15"/>
  <cols>
    <col width="3" customWidth="1" min="1" max="1"/>
    <col width="28" customWidth="1" min="2" max="2"/>
    <col width="48" customWidth="1" min="3" max="3"/>
    <col width="4" customWidth="1" min="4" max="4"/>
    <col width="18" customWidth="1" min="5" max="5"/>
    <col width="18" customWidth="1" min="6" max="6"/>
    <col width="18" customWidth="1" min="7" max="7"/>
    <col width="18" customWidth="1" min="8" max="8"/>
    <col width="18" customWidth="1" min="9" max="9"/>
    <col width="18" customWidth="1" min="10" max="10"/>
  </cols>
  <sheetData>
    <row r="1" ht="26" customHeight="1">
      <c r="A1" s="1" t="inlineStr">
        <is>
          <t>CMMC Level 2 Assessment Platform</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Assessment readiness, evidence, POA&amp;M, SSP mapping, and weighted scoring workbook</t>
        </is>
      </c>
      <c r="B3" s="2" t="n"/>
      <c r="C3" s="2" t="n"/>
      <c r="D3" s="2" t="n"/>
      <c r="E3" s="2" t="n"/>
      <c r="F3" s="2" t="n"/>
      <c r="G3" s="2" t="n"/>
      <c r="H3" s="2" t="n"/>
      <c r="I3" s="2" t="n"/>
      <c r="J3" s="2" t="n"/>
    </row>
    <row r="6">
      <c r="B6" s="4" t="inlineStr">
        <is>
          <t>Organization Name</t>
        </is>
      </c>
      <c r="C6" s="5" t="inlineStr"/>
    </row>
    <row r="7">
      <c r="B7" s="4" t="inlineStr">
        <is>
          <t>Assessment Name</t>
        </is>
      </c>
      <c r="C7" s="5" t="inlineStr"/>
    </row>
    <row r="8">
      <c r="B8" s="4" t="inlineStr">
        <is>
          <t>Assessment Scope</t>
        </is>
      </c>
      <c r="C8" s="5" t="inlineStr"/>
    </row>
    <row r="9">
      <c r="B9" s="4" t="inlineStr">
        <is>
          <t>CAGE Code</t>
        </is>
      </c>
      <c r="C9" s="5" t="inlineStr"/>
    </row>
    <row r="10">
      <c r="B10" s="4" t="inlineStr">
        <is>
          <t>Assessment Type</t>
        </is>
      </c>
      <c r="C10" s="5" t="inlineStr">
        <is>
          <t>Level 2 Self-Assessment</t>
        </is>
      </c>
    </row>
    <row r="11">
      <c r="B11" s="4" t="inlineStr">
        <is>
          <t>Assessment Start Date</t>
        </is>
      </c>
      <c r="C11" s="5" t="inlineStr"/>
    </row>
    <row r="12">
      <c r="B12" s="4" t="inlineStr">
        <is>
          <t>Assessment End Date</t>
        </is>
      </c>
      <c r="C12" s="5" t="inlineStr"/>
    </row>
    <row r="13">
      <c r="B13" s="4" t="inlineStr">
        <is>
          <t>Lead Assessor</t>
        </is>
      </c>
      <c r="C13" s="5" t="inlineStr"/>
    </row>
    <row r="14">
      <c r="B14" s="4" t="inlineStr">
        <is>
          <t>Workbook Version</t>
        </is>
      </c>
      <c r="C14" s="5" t="inlineStr">
        <is>
          <t>0.2</t>
        </is>
      </c>
    </row>
    <row r="15">
      <c r="B15" s="4" t="inlineStr">
        <is>
          <t>Assessment Guide</t>
        </is>
      </c>
      <c r="C15" s="5" t="inlineStr">
        <is>
          <t>Level 2 Version 2.13</t>
        </is>
      </c>
    </row>
    <row r="16">
      <c r="B16" s="4" t="inlineStr">
        <is>
          <t>Scoring Source</t>
        </is>
      </c>
      <c r="C16" s="5" t="inlineStr">
        <is>
          <t>32 CFR 170.24</t>
        </is>
      </c>
    </row>
    <row r="19">
      <c r="B19" s="6" t="inlineStr">
        <is>
          <t>Instructions</t>
        </is>
      </c>
    </row>
    <row r="20">
      <c r="B20" s="7" t="inlineStr">
        <is>
          <t>Complete the organization metadata above, then evaluate all 110 requirements on the Assessment worksheet. Yellow cells are user-input fields. Gray cells contain formulas or official scoring metadata. Requirements IA.L2-3.5.3 and SC.L2-3.13.11 include limited partial-credit implementation-state options.</t>
        </is>
      </c>
    </row>
    <row r="21"/>
    <row r="22"/>
    <row r="23"/>
    <row r="24"/>
  </sheetData>
  <mergeCells count="3">
    <mergeCell ref="A1:J2"/>
    <mergeCell ref="A3:J3"/>
    <mergeCell ref="B20:H24"/>
  </mergeCells>
  <pageMargins left="0.25" right="0.25"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24"/>
  <sheetViews>
    <sheetView showGridLines="0" zoomScale="9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1" ht="26" customHeight="1">
      <c r="A1" s="1" t="inlineStr">
        <is>
          <t>Executive Dashboard</t>
        </is>
      </c>
      <c r="B1" s="2" t="n"/>
      <c r="C1" s="2" t="n"/>
      <c r="D1" s="2" t="n"/>
      <c r="E1" s="2" t="n"/>
      <c r="F1" s="2" t="n"/>
      <c r="G1" s="2" t="n"/>
      <c r="H1" s="2" t="n"/>
      <c r="I1" s="2" t="n"/>
      <c r="J1" s="2" t="n"/>
      <c r="K1" s="2" t="n"/>
      <c r="L1" s="2" t="n"/>
      <c r="M1" s="2" t="n"/>
    </row>
    <row r="2" ht="14" customHeight="1">
      <c r="A2" s="2" t="n"/>
      <c r="B2" s="2" t="n"/>
      <c r="C2" s="2" t="n"/>
      <c r="D2" s="2" t="n"/>
      <c r="E2" s="2" t="n"/>
      <c r="F2" s="2" t="n"/>
      <c r="G2" s="2" t="n"/>
      <c r="H2" s="2" t="n"/>
      <c r="I2" s="2" t="n"/>
      <c r="J2" s="2" t="n"/>
      <c r="K2" s="2" t="n"/>
      <c r="L2" s="2" t="n"/>
      <c r="M2" s="2" t="n"/>
    </row>
    <row r="3" ht="22" customHeight="1">
      <c r="A3" s="3" t="inlineStr">
        <is>
          <t>Weighted CMMC Level 2 assessment and readiness summary</t>
        </is>
      </c>
      <c r="B3" s="2" t="n"/>
      <c r="C3" s="2" t="n"/>
      <c r="D3" s="2" t="n"/>
      <c r="E3" s="2" t="n"/>
      <c r="F3" s="2" t="n"/>
      <c r="G3" s="2" t="n"/>
      <c r="H3" s="2" t="n"/>
      <c r="I3" s="2" t="n"/>
      <c r="J3" s="2" t="n"/>
      <c r="K3" s="2" t="n"/>
      <c r="L3" s="2" t="n"/>
      <c r="M3" s="2" t="n"/>
    </row>
    <row r="6">
      <c r="B6" s="8" t="inlineStr">
        <is>
          <t>Current Score</t>
        </is>
      </c>
      <c r="E6" s="8" t="inlineStr">
        <is>
          <t>Requirements Met</t>
        </is>
      </c>
      <c r="H6" s="8" t="inlineStr">
        <is>
          <t>Requirements Not Met</t>
        </is>
      </c>
      <c r="K6" s="8" t="inlineStr">
        <is>
          <t>Not Assessed</t>
        </is>
      </c>
    </row>
    <row r="7">
      <c r="B7" s="9">
        <f>110-SUM(Assessment!N6:N115)</f>
        <v/>
      </c>
      <c r="E7" s="9">
        <f>COUNTIF(Assessment!I6:I115,"MET")</f>
        <v/>
      </c>
      <c r="H7" s="9">
        <f>COUNTIF(Assessment!I6:I115,"NOT MET")</f>
        <v/>
      </c>
      <c r="K7" s="9">
        <f>COUNTIF(Assessment!I6:I115,"NOT ASSESSED")</f>
        <v/>
      </c>
    </row>
    <row r="8"/>
    <row r="9"/>
    <row r="12">
      <c r="B12" s="8" t="inlineStr">
        <is>
          <t>Assessment Completion</t>
        </is>
      </c>
      <c r="C12" s="10">
        <f>IFERROR((COUNTIF(Assessment!I6:I115,"MET")+COUNTIF(Assessment!I6:I115,"NOT MET")+COUNTIF(Assessment!I6:I115,"NOT APPLICABLE"))/110,0)</f>
        <v/>
      </c>
      <c r="E12" s="8" t="inlineStr">
        <is>
          <t>Evidence Complete</t>
        </is>
      </c>
      <c r="F12" s="11">
        <f>COUNTIF(Assessment!O6:O115,"Complete")</f>
        <v/>
      </c>
      <c r="H12" s="8" t="inlineStr">
        <is>
          <t>Partial Credit Applied</t>
        </is>
      </c>
      <c r="I12" s="11">
        <f>COUNTIF(Assessment!M6:M115,"Yes")</f>
        <v/>
      </c>
      <c r="K12" s="8" t="inlineStr">
        <is>
          <t>POA&amp;M Items</t>
        </is>
      </c>
      <c r="L12" s="11">
        <f>COUNTIF(Assessment!S6:S115,"Yes")</f>
        <v/>
      </c>
    </row>
    <row r="15">
      <c r="B15" s="12" t="inlineStr">
        <is>
          <t>Scoring Status</t>
        </is>
      </c>
      <c r="C15" s="13">
        <f>IF(COUNTIF(Assessment!I6:I115,"NOT ASSESSED")=0,"COMPLETE","PROVISIONAL")</f>
        <v/>
      </c>
      <c r="E15" s="12" t="inlineStr">
        <is>
          <t>Maximum Deduction</t>
        </is>
      </c>
      <c r="F15" s="13">
        <f>SUM(Assessment!L6:L115)</f>
        <v/>
      </c>
      <c r="H15" s="12" t="inlineStr">
        <is>
          <t>Mathematical Minimum</t>
        </is>
      </c>
      <c r="I15" s="13">
        <f>110-F15</f>
        <v/>
      </c>
    </row>
    <row r="18">
      <c r="B18" t="inlineStr">
        <is>
          <t>Synchronized Metrics</t>
        </is>
      </c>
      <c r="M18">
        <f>TODAY()</f>
        <v/>
      </c>
    </row>
    <row r="19">
      <c r="B19" t="inlineStr">
        <is>
          <t>Total Requirements</t>
        </is>
      </c>
      <c r="C19" t="n">
        <v>110</v>
      </c>
      <c r="E19" t="inlineStr">
        <is>
          <t>Evidence Records</t>
        </is>
      </c>
      <c r="F19" t="n">
        <v>0</v>
      </c>
      <c r="H19" t="inlineStr">
        <is>
          <t>Open POA&amp;M Items</t>
        </is>
      </c>
      <c r="I19" t="n">
        <v>0</v>
      </c>
    </row>
    <row r="20">
      <c r="B20" t="inlineStr">
        <is>
          <t>Applicable Requirements</t>
        </is>
      </c>
      <c r="C20" t="n">
        <v>110</v>
      </c>
      <c r="E20" t="inlineStr">
        <is>
          <t>Evidence Coverage</t>
        </is>
      </c>
      <c r="F20" s="14" t="n">
        <v>0</v>
      </c>
      <c r="H20" t="inlineStr">
        <is>
          <t>POA&amp;M Created</t>
        </is>
      </c>
      <c r="I20" t="n">
        <v>0</v>
      </c>
    </row>
    <row r="21">
      <c r="B21" t="inlineStr">
        <is>
          <t>MET Requirements</t>
        </is>
      </c>
      <c r="C21" t="n">
        <v>0</v>
      </c>
      <c r="E21" t="inlineStr">
        <is>
          <t>Orphaned Evidence</t>
        </is>
      </c>
      <c r="F21" t="n">
        <v>0</v>
      </c>
      <c r="H21" t="inlineStr">
        <is>
          <t>POA&amp;M Updated</t>
        </is>
      </c>
      <c r="I21" t="n">
        <v>0</v>
      </c>
    </row>
    <row r="22">
      <c r="B22" t="inlineStr">
        <is>
          <t>NOT MET Requirements</t>
        </is>
      </c>
      <c r="C22" t="n">
        <v>0</v>
      </c>
      <c r="E22" t="inlineStr">
        <is>
          <t>Duplicate Evidence</t>
        </is>
      </c>
      <c r="F22" t="n">
        <v>0</v>
      </c>
      <c r="H22" t="inlineStr">
        <is>
          <t>POA&amp;M Cleared</t>
        </is>
      </c>
      <c r="I22" t="n">
        <v>0</v>
      </c>
    </row>
    <row r="23">
      <c r="B23" t="inlineStr">
        <is>
          <t>NOT ASSESSED Requirements</t>
        </is>
      </c>
      <c r="C23" t="n">
        <v>110</v>
      </c>
      <c r="H23" t="inlineStr">
        <is>
          <t>Certification Readiness</t>
        </is>
      </c>
      <c r="I23" s="14" t="n">
        <v>0</v>
      </c>
    </row>
    <row r="24">
      <c r="B24" t="inlineStr">
        <is>
          <t>Assessment Completion</t>
        </is>
      </c>
      <c r="C24" s="14" t="n">
        <v>0</v>
      </c>
    </row>
  </sheetData>
  <mergeCells count="10">
    <mergeCell ref="E7:F9"/>
    <mergeCell ref="K7:L9"/>
    <mergeCell ref="B6:C6"/>
    <mergeCell ref="H7:I9"/>
    <mergeCell ref="E6:F6"/>
    <mergeCell ref="H6:I6"/>
    <mergeCell ref="A1:M2"/>
    <mergeCell ref="B7:C9"/>
    <mergeCell ref="A3:M3"/>
    <mergeCell ref="K6:L6"/>
  </mergeCells>
  <pageMargins left="0.25" right="0.25"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V116"/>
  <sheetViews>
    <sheetView showGridLines="0" zoomScale="75" workbookViewId="0">
      <pane ySplit="5" topLeftCell="A6" activePane="bottomLeft" state="frozen"/>
      <selection pane="bottomLeft" activeCell="A1" sqref="A1"/>
    </sheetView>
  </sheetViews>
  <sheetFormatPr baseColWidth="8" defaultRowHeight="15"/>
  <cols>
    <col width="10" customWidth="1" min="1" max="1"/>
    <col width="18" customWidth="1" min="2" max="2"/>
    <col width="34" customWidth="1" min="3" max="3"/>
    <col width="65" customWidth="1" min="4" max="4"/>
    <col width="12" customWidth="1" min="5" max="5"/>
    <col width="12" customWidth="1" min="6" max="6"/>
    <col width="12" customWidth="1" min="7" max="7"/>
    <col width="20" customWidth="1" min="8" max="8"/>
    <col width="18" customWidth="1" min="9" max="9"/>
    <col width="24" customWidth="1" min="10" max="10"/>
    <col width="16" customWidth="1" min="11" max="11"/>
    <col width="14" customWidth="1" min="12" max="12"/>
    <col width="18" customWidth="1" min="13" max="13"/>
    <col width="18" customWidth="1" min="14" max="14"/>
    <col width="18" customWidth="1" min="15" max="15"/>
    <col width="22" customWidth="1" min="16" max="16"/>
    <col width="22" customWidth="1" min="17" max="17"/>
    <col width="45" customWidth="1" min="18" max="18"/>
    <col width="16" customWidth="1" min="19" max="19"/>
    <col width="60" customWidth="1" min="20" max="20"/>
    <col width="28" customWidth="1" min="21" max="21"/>
    <col width="60" customWidth="1" min="22" max="22"/>
  </cols>
  <sheetData>
    <row r="1" ht="26" customHeight="1">
      <c r="A1" s="1" t="inlineStr">
        <is>
          <t>CMMC Level 2 Requirement Assessment</t>
        </is>
      </c>
      <c r="B1" s="2" t="n"/>
      <c r="C1" s="2" t="n"/>
      <c r="D1" s="2" t="n"/>
      <c r="E1" s="2" t="n"/>
      <c r="F1" s="2" t="n"/>
      <c r="G1" s="2" t="n"/>
      <c r="H1" s="2" t="n"/>
      <c r="I1" s="2" t="n"/>
      <c r="J1" s="2" t="n"/>
      <c r="K1" s="2" t="n"/>
      <c r="L1" s="2" t="n"/>
      <c r="M1" s="2" t="n"/>
      <c r="N1" s="2" t="n"/>
      <c r="O1" s="2" t="n"/>
      <c r="P1" s="2" t="n"/>
      <c r="Q1" s="2" t="n"/>
      <c r="R1" s="2" t="n"/>
      <c r="S1" s="2" t="n"/>
      <c r="T1" s="2" t="n"/>
      <c r="U1" s="2" t="n"/>
      <c r="V1" s="2" t="n"/>
    </row>
    <row r="2" ht="14" customHeight="1">
      <c r="A2" s="2" t="n"/>
      <c r="B2" s="2" t="n"/>
      <c r="C2" s="2" t="n"/>
      <c r="D2" s="2" t="n"/>
      <c r="E2" s="2" t="n"/>
      <c r="F2" s="2" t="n"/>
      <c r="G2" s="2" t="n"/>
      <c r="H2" s="2" t="n"/>
      <c r="I2" s="2" t="n"/>
      <c r="J2" s="2" t="n"/>
      <c r="K2" s="2" t="n"/>
      <c r="L2" s="2" t="n"/>
      <c r="M2" s="2" t="n"/>
      <c r="N2" s="2" t="n"/>
      <c r="O2" s="2" t="n"/>
      <c r="P2" s="2" t="n"/>
      <c r="Q2" s="2" t="n"/>
      <c r="R2" s="2" t="n"/>
      <c r="S2" s="2" t="n"/>
      <c r="T2" s="2" t="n"/>
      <c r="U2" s="2" t="n"/>
      <c r="V2" s="2" t="n"/>
    </row>
    <row r="3" ht="22" customHeight="1">
      <c r="A3" s="3" t="inlineStr">
        <is>
          <t>Evaluate implementation, evidence, ownership, SSP mapping, weighted deductions, and POA&amp;M requirements for all 110 controls.</t>
        </is>
      </c>
      <c r="B3" s="2" t="n"/>
      <c r="C3" s="2" t="n"/>
      <c r="D3" s="2" t="n"/>
      <c r="E3" s="2" t="n"/>
      <c r="F3" s="2" t="n"/>
      <c r="G3" s="2" t="n"/>
      <c r="H3" s="2" t="n"/>
      <c r="I3" s="2" t="n"/>
      <c r="J3" s="2" t="n"/>
      <c r="K3" s="2" t="n"/>
      <c r="L3" s="2" t="n"/>
      <c r="M3" s="2" t="n"/>
      <c r="N3" s="2" t="n"/>
      <c r="O3" s="2" t="n"/>
      <c r="P3" s="2" t="n"/>
      <c r="Q3" s="2" t="n"/>
      <c r="R3" s="2" t="n"/>
      <c r="S3" s="2" t="n"/>
      <c r="T3" s="2" t="n"/>
      <c r="U3" s="2" t="n"/>
      <c r="V3" s="2" t="n"/>
    </row>
    <row r="5" ht="32" customHeight="1">
      <c r="A5" s="8" t="inlineStr">
        <is>
          <t>Domain</t>
        </is>
      </c>
      <c r="B5" s="8" t="inlineStr">
        <is>
          <t>Requirement ID</t>
        </is>
      </c>
      <c r="C5" s="8" t="inlineStr">
        <is>
          <t>Title</t>
        </is>
      </c>
      <c r="D5" s="8" t="inlineStr">
        <is>
          <t>Requirement Statement</t>
        </is>
      </c>
      <c r="E5" s="8" t="inlineStr">
        <is>
          <t>Source Start</t>
        </is>
      </c>
      <c r="F5" s="8" t="inlineStr">
        <is>
          <t>Source End</t>
        </is>
      </c>
      <c r="G5" s="8" t="inlineStr">
        <is>
          <t>Applicable</t>
        </is>
      </c>
      <c r="H5" s="8" t="inlineStr">
        <is>
          <t>Scoring Category</t>
        </is>
      </c>
      <c r="I5" s="8" t="inlineStr">
        <is>
          <t>Status</t>
        </is>
      </c>
      <c r="J5" s="8" t="inlineStr">
        <is>
          <t>Implementation State</t>
        </is>
      </c>
      <c r="K5" s="8" t="inlineStr">
        <is>
          <t>Partial Credit Allowed</t>
        </is>
      </c>
      <c r="L5" s="8" t="inlineStr">
        <is>
          <t>Full Deduction</t>
        </is>
      </c>
      <c r="M5" s="8" t="inlineStr">
        <is>
          <t>Partial Credit Applied</t>
        </is>
      </c>
      <c r="N5" s="8" t="inlineStr">
        <is>
          <t>Calculated Deduction</t>
        </is>
      </c>
      <c r="O5" s="8" t="inlineStr">
        <is>
          <t>Evidence Status</t>
        </is>
      </c>
      <c r="P5" s="8" t="inlineStr">
        <is>
          <t>Control Owner</t>
        </is>
      </c>
      <c r="Q5" s="8" t="inlineStr">
        <is>
          <t>SSP Reference</t>
        </is>
      </c>
      <c r="R5" s="8" t="inlineStr">
        <is>
          <t>Assessor Notes</t>
        </is>
      </c>
      <c r="S5" s="8" t="inlineStr">
        <is>
          <t>POA&amp;M Required</t>
        </is>
      </c>
      <c r="T5" s="8" t="inlineStr">
        <is>
          <t>Partial Credit Condition</t>
        </is>
      </c>
      <c r="U5" s="8" t="inlineStr">
        <is>
          <t>Scoring Source</t>
        </is>
      </c>
      <c r="V5" s="8" t="inlineStr">
        <is>
          <t>Score Explanation</t>
        </is>
      </c>
    </row>
    <row r="6">
      <c r="A6" s="15" t="inlineStr">
        <is>
          <t>AC</t>
        </is>
      </c>
      <c r="B6" s="15" t="inlineStr">
        <is>
          <t>AC.L2-3.1.1</t>
        </is>
      </c>
      <c r="C6" s="15" t="inlineStr">
        <is>
          <t>Authorized Access Control [CUI Data]</t>
        </is>
      </c>
      <c r="D6" s="15" t="inlineStr">
        <is>
          <t>Limit system access to authorized users, processes acting on behalf of authorized users, and devices (including other systems).</t>
        </is>
      </c>
      <c r="E6" s="15" t="n">
        <v>22</v>
      </c>
      <c r="F6" s="15" t="n">
        <v>24</v>
      </c>
      <c r="G6" s="16" t="inlineStr">
        <is>
          <t>Yes</t>
        </is>
      </c>
      <c r="H6" s="17" t="inlineStr">
        <is>
          <t>FIVE_POINT</t>
        </is>
      </c>
      <c r="I6" s="16" t="inlineStr">
        <is>
          <t>NOT ASSESSED</t>
        </is>
      </c>
      <c r="J6" s="17" t="inlineStr"/>
      <c r="K6" s="17" t="inlineStr">
        <is>
          <t>No</t>
        </is>
      </c>
      <c r="L6" s="17" t="n">
        <v>5</v>
      </c>
      <c r="M6" s="17">
        <f>IF(AND(K6="Yes",I6="NOT MET",J6="PARTIALLY IMPLEMENTED"),"Yes","No")</f>
        <v/>
      </c>
      <c r="N6" s="17">
        <f>IF(OR(I6="MET",I6="NOT APPLICABLE",I6="NOT ASSESSED"),0,IF(AND(K6="Yes",J6="PARTIALLY IMPLEMENTED"),3,L6))</f>
        <v/>
      </c>
      <c r="O6" s="16" t="inlineStr">
        <is>
          <t>Not Started</t>
        </is>
      </c>
      <c r="P6" s="16" t="inlineStr"/>
      <c r="Q6" s="16" t="inlineStr"/>
      <c r="R6" s="16" t="inlineStr"/>
      <c r="S6" s="17">
        <f>IF(I6="NOT MET","Yes","No")</f>
        <v/>
      </c>
      <c r="T6" s="17" t="inlineStr"/>
      <c r="U6" s="17" t="inlineStr">
        <is>
          <t>32 CFR 170.24(c)(2) | Current eCFR</t>
        </is>
      </c>
      <c r="V6" s="17">
        <f>IF(I6="MET","Requirement assessed MET; no deduction.",IF(I6="NOT APPLICABLE","Requirement assessed NOT APPLICABLE; no deduction.",IF(I6="NOT ASSESSED","Requirement not assessed; score remains provisional.",IF(M6="Yes","Partial-credit condition applied; 3 points deducted.","Requirement assessed NOT MET; "&amp;L6&amp;" points deducted."))))</f>
        <v/>
      </c>
    </row>
    <row r="7">
      <c r="A7" s="15" t="inlineStr">
        <is>
          <t>AC</t>
        </is>
      </c>
      <c r="B7" s="15" t="inlineStr">
        <is>
          <t>AC.L2-3.1.2</t>
        </is>
      </c>
      <c r="C7" s="15" t="inlineStr">
        <is>
          <t>Transaction &amp; Function Control</t>
        </is>
      </c>
      <c r="D7" s="15" t="inlineStr">
        <is>
          <t>Limit system access to the types of transactions and functions that authorized users are permitted to execute.</t>
        </is>
      </c>
      <c r="E7" s="15" t="n">
        <v>25</v>
      </c>
      <c r="F7" s="15" t="n">
        <v>26</v>
      </c>
      <c r="G7" s="16" t="inlineStr">
        <is>
          <t>Yes</t>
        </is>
      </c>
      <c r="H7" s="17" t="inlineStr">
        <is>
          <t>FIVE_POINT</t>
        </is>
      </c>
      <c r="I7" s="16" t="inlineStr">
        <is>
          <t>NOT ASSESSED</t>
        </is>
      </c>
      <c r="J7" s="17" t="inlineStr"/>
      <c r="K7" s="17" t="inlineStr">
        <is>
          <t>No</t>
        </is>
      </c>
      <c r="L7" s="17" t="n">
        <v>5</v>
      </c>
      <c r="M7" s="17">
        <f>IF(AND(K7="Yes",I7="NOT MET",J7="PARTIALLY IMPLEMENTED"),"Yes","No")</f>
        <v/>
      </c>
      <c r="N7" s="17">
        <f>IF(OR(I7="MET",I7="NOT APPLICABLE",I7="NOT ASSESSED"),0,IF(AND(K7="Yes",J7="PARTIALLY IMPLEMENTED"),3,L7))</f>
        <v/>
      </c>
      <c r="O7" s="16" t="inlineStr">
        <is>
          <t>Not Started</t>
        </is>
      </c>
      <c r="P7" s="16" t="inlineStr"/>
      <c r="Q7" s="16" t="inlineStr"/>
      <c r="R7" s="16" t="inlineStr"/>
      <c r="S7" s="17">
        <f>IF(I7="NOT MET","Yes","No")</f>
        <v/>
      </c>
      <c r="T7" s="17" t="inlineStr"/>
      <c r="U7" s="17" t="inlineStr">
        <is>
          <t>32 CFR 170.24(c)(2) | Current eCFR</t>
        </is>
      </c>
      <c r="V7" s="17">
        <f>IF(I7="MET","Requirement assessed MET; no deduction.",IF(I7="NOT APPLICABLE","Requirement assessed NOT APPLICABLE; no deduction.",IF(I7="NOT ASSESSED","Requirement not assessed; score remains provisional.",IF(M7="Yes","Partial-credit condition applied; 3 points deducted.","Requirement assessed NOT MET; "&amp;L7&amp;" points deducted."))))</f>
        <v/>
      </c>
    </row>
    <row r="8">
      <c r="A8" s="15" t="inlineStr">
        <is>
          <t>AC</t>
        </is>
      </c>
      <c r="B8" s="15" t="inlineStr">
        <is>
          <t>AC.L2-3.1.3</t>
        </is>
      </c>
      <c r="C8" s="15" t="inlineStr">
        <is>
          <t>Control CUI Flow</t>
        </is>
      </c>
      <c r="D8" s="15" t="inlineStr">
        <is>
          <t>Control the flow of CUI in accordance with approved authorizations.</t>
        </is>
      </c>
      <c r="E8" s="15" t="n">
        <v>27</v>
      </c>
      <c r="F8" s="15" t="n">
        <v>29</v>
      </c>
      <c r="G8" s="16" t="inlineStr">
        <is>
          <t>Yes</t>
        </is>
      </c>
      <c r="H8" s="17" t="inlineStr">
        <is>
          <t>ONE_POINT</t>
        </is>
      </c>
      <c r="I8" s="16" t="inlineStr">
        <is>
          <t>NOT ASSESSED</t>
        </is>
      </c>
      <c r="J8" s="17" t="inlineStr"/>
      <c r="K8" s="17" t="inlineStr">
        <is>
          <t>No</t>
        </is>
      </c>
      <c r="L8" s="17" t="n">
        <v>1</v>
      </c>
      <c r="M8" s="17">
        <f>IF(AND(K8="Yes",I8="NOT MET",J8="PARTIALLY IMPLEMENTED"),"Yes","No")</f>
        <v/>
      </c>
      <c r="N8" s="17">
        <f>IF(OR(I8="MET",I8="NOT APPLICABLE",I8="NOT ASSESSED"),0,IF(AND(K8="Yes",J8="PARTIALLY IMPLEMENTED"),3,L8))</f>
        <v/>
      </c>
      <c r="O8" s="16" t="inlineStr">
        <is>
          <t>Not Started</t>
        </is>
      </c>
      <c r="P8" s="16" t="inlineStr"/>
      <c r="Q8" s="16" t="inlineStr"/>
      <c r="R8" s="16" t="inlineStr"/>
      <c r="S8" s="17">
        <f>IF(I8="NOT MET","Yes","No")</f>
        <v/>
      </c>
      <c r="T8" s="17" t="inlineStr"/>
      <c r="U8" s="17" t="inlineStr">
        <is>
          <t>32 CFR 170.24(c)(2) | Current eCFR</t>
        </is>
      </c>
      <c r="V8" s="17">
        <f>IF(I8="MET","Requirement assessed MET; no deduction.",IF(I8="NOT APPLICABLE","Requirement assessed NOT APPLICABLE; no deduction.",IF(I8="NOT ASSESSED","Requirement not assessed; score remains provisional.",IF(M8="Yes","Partial-credit condition applied; 3 points deducted.","Requirement assessed NOT MET; "&amp;L8&amp;" points deducted."))))</f>
        <v/>
      </c>
    </row>
    <row r="9">
      <c r="A9" s="15" t="inlineStr">
        <is>
          <t>AC</t>
        </is>
      </c>
      <c r="B9" s="15" t="inlineStr">
        <is>
          <t>AC.L2-3.1.4</t>
        </is>
      </c>
      <c r="C9" s="15" t="inlineStr">
        <is>
          <t>Separation of Duties</t>
        </is>
      </c>
      <c r="D9" s="15" t="inlineStr">
        <is>
          <t>Separate the duties of individuals to reduce the risk of malevolent activity without collusion.</t>
        </is>
      </c>
      <c r="E9" s="15" t="n">
        <v>30</v>
      </c>
      <c r="F9" s="15" t="n">
        <v>31</v>
      </c>
      <c r="G9" s="16" t="inlineStr">
        <is>
          <t>Yes</t>
        </is>
      </c>
      <c r="H9" s="17" t="inlineStr">
        <is>
          <t>ONE_POINT</t>
        </is>
      </c>
      <c r="I9" s="16" t="inlineStr">
        <is>
          <t>NOT ASSESSED</t>
        </is>
      </c>
      <c r="J9" s="17" t="inlineStr"/>
      <c r="K9" s="17" t="inlineStr">
        <is>
          <t>No</t>
        </is>
      </c>
      <c r="L9" s="17" t="n">
        <v>1</v>
      </c>
      <c r="M9" s="17">
        <f>IF(AND(K9="Yes",I9="NOT MET",J9="PARTIALLY IMPLEMENTED"),"Yes","No")</f>
        <v/>
      </c>
      <c r="N9" s="17">
        <f>IF(OR(I9="MET",I9="NOT APPLICABLE",I9="NOT ASSESSED"),0,IF(AND(K9="Yes",J9="PARTIALLY IMPLEMENTED"),3,L9))</f>
        <v/>
      </c>
      <c r="O9" s="16" t="inlineStr">
        <is>
          <t>Not Started</t>
        </is>
      </c>
      <c r="P9" s="16" t="inlineStr"/>
      <c r="Q9" s="16" t="inlineStr"/>
      <c r="R9" s="16" t="inlineStr"/>
      <c r="S9" s="17">
        <f>IF(I9="NOT MET","Yes","No")</f>
        <v/>
      </c>
      <c r="T9" s="17" t="inlineStr"/>
      <c r="U9" s="17" t="inlineStr">
        <is>
          <t>32 CFR 170.24(c)(2) | Current eCFR</t>
        </is>
      </c>
      <c r="V9" s="17">
        <f>IF(I9="MET","Requirement assessed MET; no deduction.",IF(I9="NOT APPLICABLE","Requirement assessed NOT APPLICABLE; no deduction.",IF(I9="NOT ASSESSED","Requirement not assessed; score remains provisional.",IF(M9="Yes","Partial-credit condition applied; 3 points deducted.","Requirement assessed NOT MET; "&amp;L9&amp;" points deducted."))))</f>
        <v/>
      </c>
    </row>
    <row r="10">
      <c r="A10" s="15" t="inlineStr">
        <is>
          <t>AC</t>
        </is>
      </c>
      <c r="B10" s="15" t="inlineStr">
        <is>
          <t>AC.L2-3.1.5</t>
        </is>
      </c>
      <c r="C10" s="15" t="inlineStr">
        <is>
          <t>Least Privilege</t>
        </is>
      </c>
      <c r="D10" s="15" t="inlineStr">
        <is>
          <t>Employ the principle of least privilege, including for specific security functions and privileged accounts.</t>
        </is>
      </c>
      <c r="E10" s="15" t="n">
        <v>32</v>
      </c>
      <c r="F10" s="15" t="n">
        <v>34</v>
      </c>
      <c r="G10" s="16" t="inlineStr">
        <is>
          <t>Yes</t>
        </is>
      </c>
      <c r="H10" s="17" t="inlineStr">
        <is>
          <t>THREE_POINT</t>
        </is>
      </c>
      <c r="I10" s="16" t="inlineStr">
        <is>
          <t>NOT ASSESSED</t>
        </is>
      </c>
      <c r="J10" s="17" t="inlineStr"/>
      <c r="K10" s="17" t="inlineStr">
        <is>
          <t>No</t>
        </is>
      </c>
      <c r="L10" s="17" t="n">
        <v>3</v>
      </c>
      <c r="M10" s="17">
        <f>IF(AND(K10="Yes",I10="NOT MET",J10="PARTIALLY IMPLEMENTED"),"Yes","No")</f>
        <v/>
      </c>
      <c r="N10" s="17">
        <f>IF(OR(I10="MET",I10="NOT APPLICABLE",I10="NOT ASSESSED"),0,IF(AND(K10="Yes",J10="PARTIALLY IMPLEMENTED"),3,L10))</f>
        <v/>
      </c>
      <c r="O10" s="16" t="inlineStr">
        <is>
          <t>Not Started</t>
        </is>
      </c>
      <c r="P10" s="16" t="inlineStr"/>
      <c r="Q10" s="16" t="inlineStr"/>
      <c r="R10" s="16" t="inlineStr"/>
      <c r="S10" s="17">
        <f>IF(I10="NOT MET","Yes","No")</f>
        <v/>
      </c>
      <c r="T10" s="17" t="inlineStr"/>
      <c r="U10" s="17" t="inlineStr">
        <is>
          <t>32 CFR 170.24(c)(2) | Current eCFR</t>
        </is>
      </c>
      <c r="V10" s="17">
        <f>IF(I10="MET","Requirement assessed MET; no deduction.",IF(I10="NOT APPLICABLE","Requirement assessed NOT APPLICABLE; no deduction.",IF(I10="NOT ASSESSED","Requirement not assessed; score remains provisional.",IF(M10="Yes","Partial-credit condition applied; 3 points deducted.","Requirement assessed NOT MET; "&amp;L10&amp;" points deducted."))))</f>
        <v/>
      </c>
    </row>
    <row r="11">
      <c r="A11" s="15" t="inlineStr">
        <is>
          <t>AC</t>
        </is>
      </c>
      <c r="B11" s="15" t="inlineStr">
        <is>
          <t>AC.L2-3.1.6</t>
        </is>
      </c>
      <c r="C11" s="15" t="inlineStr">
        <is>
          <t>Non-Privileged Account Use</t>
        </is>
      </c>
      <c r="D11" s="15" t="inlineStr">
        <is>
          <t>Use non-privileged accounts or roles when accessing nonsecurity functions.</t>
        </is>
      </c>
      <c r="E11" s="15" t="n">
        <v>35</v>
      </c>
      <c r="F11" s="15" t="n">
        <v>36</v>
      </c>
      <c r="G11" s="16" t="inlineStr">
        <is>
          <t>Yes</t>
        </is>
      </c>
      <c r="H11" s="17" t="inlineStr">
        <is>
          <t>ONE_POINT</t>
        </is>
      </c>
      <c r="I11" s="16" t="inlineStr">
        <is>
          <t>NOT ASSESSED</t>
        </is>
      </c>
      <c r="J11" s="17" t="inlineStr"/>
      <c r="K11" s="17" t="inlineStr">
        <is>
          <t>No</t>
        </is>
      </c>
      <c r="L11" s="17" t="n">
        <v>1</v>
      </c>
      <c r="M11" s="17">
        <f>IF(AND(K11="Yes",I11="NOT MET",J11="PARTIALLY IMPLEMENTED"),"Yes","No")</f>
        <v/>
      </c>
      <c r="N11" s="17">
        <f>IF(OR(I11="MET",I11="NOT APPLICABLE",I11="NOT ASSESSED"),0,IF(AND(K11="Yes",J11="PARTIALLY IMPLEMENTED"),3,L11))</f>
        <v/>
      </c>
      <c r="O11" s="16" t="inlineStr">
        <is>
          <t>Not Started</t>
        </is>
      </c>
      <c r="P11" s="16" t="inlineStr"/>
      <c r="Q11" s="16" t="inlineStr"/>
      <c r="R11" s="16" t="inlineStr"/>
      <c r="S11" s="17">
        <f>IF(I11="NOT MET","Yes","No")</f>
        <v/>
      </c>
      <c r="T11" s="17" t="inlineStr"/>
      <c r="U11" s="17" t="inlineStr">
        <is>
          <t>32 CFR 170.24(c)(2) | Current eCFR</t>
        </is>
      </c>
      <c r="V11" s="17">
        <f>IF(I11="MET","Requirement assessed MET; no deduction.",IF(I11="NOT APPLICABLE","Requirement assessed NOT APPLICABLE; no deduction.",IF(I11="NOT ASSESSED","Requirement not assessed; score remains provisional.",IF(M11="Yes","Partial-credit condition applied; 3 points deducted.","Requirement assessed NOT MET; "&amp;L11&amp;" points deducted."))))</f>
        <v/>
      </c>
    </row>
    <row r="12">
      <c r="A12" s="15" t="inlineStr">
        <is>
          <t>AC</t>
        </is>
      </c>
      <c r="B12" s="15" t="inlineStr">
        <is>
          <t>AC.L2-3.1.7</t>
        </is>
      </c>
      <c r="C12" s="15" t="inlineStr">
        <is>
          <t>Privileged Functions</t>
        </is>
      </c>
      <c r="D12" s="15" t="inlineStr">
        <is>
          <t>Prevent non-privileged users from executing privileged functions and capture the execution of such functions in audit logs.</t>
        </is>
      </c>
      <c r="E12" s="15" t="n">
        <v>37</v>
      </c>
      <c r="F12" s="15" t="n">
        <v>39</v>
      </c>
      <c r="G12" s="16" t="inlineStr">
        <is>
          <t>Yes</t>
        </is>
      </c>
      <c r="H12" s="17" t="inlineStr">
        <is>
          <t>ONE_POINT</t>
        </is>
      </c>
      <c r="I12" s="16" t="inlineStr">
        <is>
          <t>NOT ASSESSED</t>
        </is>
      </c>
      <c r="J12" s="17" t="inlineStr"/>
      <c r="K12" s="17" t="inlineStr">
        <is>
          <t>No</t>
        </is>
      </c>
      <c r="L12" s="17" t="n">
        <v>1</v>
      </c>
      <c r="M12" s="17">
        <f>IF(AND(K12="Yes",I12="NOT MET",J12="PARTIALLY IMPLEMENTED"),"Yes","No")</f>
        <v/>
      </c>
      <c r="N12" s="17">
        <f>IF(OR(I12="MET",I12="NOT APPLICABLE",I12="NOT ASSESSED"),0,IF(AND(K12="Yes",J12="PARTIALLY IMPLEMENTED"),3,L12))</f>
        <v/>
      </c>
      <c r="O12" s="16" t="inlineStr">
        <is>
          <t>Not Started</t>
        </is>
      </c>
      <c r="P12" s="16" t="inlineStr"/>
      <c r="Q12" s="16" t="inlineStr"/>
      <c r="R12" s="16" t="inlineStr"/>
      <c r="S12" s="17">
        <f>IF(I12="NOT MET","Yes","No")</f>
        <v/>
      </c>
      <c r="T12" s="17" t="inlineStr"/>
      <c r="U12" s="17" t="inlineStr">
        <is>
          <t>32 CFR 170.24(c)(2) | Current eCFR</t>
        </is>
      </c>
      <c r="V12" s="17">
        <f>IF(I12="MET","Requirement assessed MET; no deduction.",IF(I12="NOT APPLICABLE","Requirement assessed NOT APPLICABLE; no deduction.",IF(I12="NOT ASSESSED","Requirement not assessed; score remains provisional.",IF(M12="Yes","Partial-credit condition applied; 3 points deducted.","Requirement assessed NOT MET; "&amp;L12&amp;" points deducted."))))</f>
        <v/>
      </c>
    </row>
    <row r="13">
      <c r="A13" s="15" t="inlineStr">
        <is>
          <t>AC</t>
        </is>
      </c>
      <c r="B13" s="15" t="inlineStr">
        <is>
          <t>AC.L2-3.1.8</t>
        </is>
      </c>
      <c r="C13" s="15" t="inlineStr">
        <is>
          <t>Unsuccessful Logon Attempts</t>
        </is>
      </c>
      <c r="D13" s="15" t="inlineStr">
        <is>
          <t>Limit unsuccessful logon attempts.</t>
        </is>
      </c>
      <c r="E13" s="15" t="n">
        <v>40</v>
      </c>
      <c r="F13" s="15" t="n">
        <v>41</v>
      </c>
      <c r="G13" s="16" t="inlineStr">
        <is>
          <t>Yes</t>
        </is>
      </c>
      <c r="H13" s="17" t="inlineStr">
        <is>
          <t>ONE_POINT</t>
        </is>
      </c>
      <c r="I13" s="16" t="inlineStr">
        <is>
          <t>NOT ASSESSED</t>
        </is>
      </c>
      <c r="J13" s="17" t="inlineStr"/>
      <c r="K13" s="17" t="inlineStr">
        <is>
          <t>No</t>
        </is>
      </c>
      <c r="L13" s="17" t="n">
        <v>1</v>
      </c>
      <c r="M13" s="17">
        <f>IF(AND(K13="Yes",I13="NOT MET",J13="PARTIALLY IMPLEMENTED"),"Yes","No")</f>
        <v/>
      </c>
      <c r="N13" s="17">
        <f>IF(OR(I13="MET",I13="NOT APPLICABLE",I13="NOT ASSESSED"),0,IF(AND(K13="Yes",J13="PARTIALLY IMPLEMENTED"),3,L13))</f>
        <v/>
      </c>
      <c r="O13" s="16" t="inlineStr">
        <is>
          <t>Not Started</t>
        </is>
      </c>
      <c r="P13" s="16" t="inlineStr"/>
      <c r="Q13" s="16" t="inlineStr"/>
      <c r="R13" s="16" t="inlineStr"/>
      <c r="S13" s="17">
        <f>IF(I13="NOT MET","Yes","No")</f>
        <v/>
      </c>
      <c r="T13" s="17" t="inlineStr"/>
      <c r="U13" s="17" t="inlineStr">
        <is>
          <t>32 CFR 170.24(c)(2) | Current eCFR</t>
        </is>
      </c>
      <c r="V13" s="17">
        <f>IF(I13="MET","Requirement assessed MET; no deduction.",IF(I13="NOT APPLICABLE","Requirement assessed NOT APPLICABLE; no deduction.",IF(I13="NOT ASSESSED","Requirement not assessed; score remains provisional.",IF(M13="Yes","Partial-credit condition applied; 3 points deducted.","Requirement assessed NOT MET; "&amp;L13&amp;" points deducted."))))</f>
        <v/>
      </c>
    </row>
    <row r="14">
      <c r="A14" s="15" t="inlineStr">
        <is>
          <t>AC</t>
        </is>
      </c>
      <c r="B14" s="15" t="inlineStr">
        <is>
          <t>AC.L2-3.1.9</t>
        </is>
      </c>
      <c r="C14" s="15" t="inlineStr">
        <is>
          <t>Privacy &amp; Security Notices</t>
        </is>
      </c>
      <c r="D14" s="15" t="inlineStr">
        <is>
          <t>Provide privacy and security notices consistent with applicable CUI rules.</t>
        </is>
      </c>
      <c r="E14" s="15" t="n">
        <v>42</v>
      </c>
      <c r="F14" s="15" t="n">
        <v>43</v>
      </c>
      <c r="G14" s="16" t="inlineStr">
        <is>
          <t>Yes</t>
        </is>
      </c>
      <c r="H14" s="17" t="inlineStr">
        <is>
          <t>ONE_POINT</t>
        </is>
      </c>
      <c r="I14" s="16" t="inlineStr">
        <is>
          <t>NOT ASSESSED</t>
        </is>
      </c>
      <c r="J14" s="17" t="inlineStr"/>
      <c r="K14" s="17" t="inlineStr">
        <is>
          <t>No</t>
        </is>
      </c>
      <c r="L14" s="17" t="n">
        <v>1</v>
      </c>
      <c r="M14" s="17">
        <f>IF(AND(K14="Yes",I14="NOT MET",J14="PARTIALLY IMPLEMENTED"),"Yes","No")</f>
        <v/>
      </c>
      <c r="N14" s="17">
        <f>IF(OR(I14="MET",I14="NOT APPLICABLE",I14="NOT ASSESSED"),0,IF(AND(K14="Yes",J14="PARTIALLY IMPLEMENTED"),3,L14))</f>
        <v/>
      </c>
      <c r="O14" s="16" t="inlineStr">
        <is>
          <t>Not Started</t>
        </is>
      </c>
      <c r="P14" s="16" t="inlineStr"/>
      <c r="Q14" s="16" t="inlineStr"/>
      <c r="R14" s="16" t="inlineStr"/>
      <c r="S14" s="17">
        <f>IF(I14="NOT MET","Yes","No")</f>
        <v/>
      </c>
      <c r="T14" s="17" t="inlineStr"/>
      <c r="U14" s="17" t="inlineStr">
        <is>
          <t>32 CFR 170.24(c)(2) | Current eCFR</t>
        </is>
      </c>
      <c r="V14" s="17">
        <f>IF(I14="MET","Requirement assessed MET; no deduction.",IF(I14="NOT APPLICABLE","Requirement assessed NOT APPLICABLE; no deduction.",IF(I14="NOT ASSESSED","Requirement not assessed; score remains provisional.",IF(M14="Yes","Partial-credit condition applied; 3 points deducted.","Requirement assessed NOT MET; "&amp;L14&amp;" points deducted."))))</f>
        <v/>
      </c>
    </row>
    <row r="15">
      <c r="A15" s="15" t="inlineStr">
        <is>
          <t>AC</t>
        </is>
      </c>
      <c r="B15" s="15" t="inlineStr">
        <is>
          <t>AC.L2-3.1.10</t>
        </is>
      </c>
      <c r="C15" s="15" t="inlineStr">
        <is>
          <t>Session Lock</t>
        </is>
      </c>
      <c r="D15" s="15" t="inlineStr">
        <is>
          <t>Use session lock with pattern- hiding displays to prevent access and viewing of data after a period of inactivity.</t>
        </is>
      </c>
      <c r="E15" s="15" t="n">
        <v>44</v>
      </c>
      <c r="F15" s="15" t="n">
        <v>45</v>
      </c>
      <c r="G15" s="16" t="inlineStr">
        <is>
          <t>Yes</t>
        </is>
      </c>
      <c r="H15" s="17" t="inlineStr">
        <is>
          <t>ONE_POINT</t>
        </is>
      </c>
      <c r="I15" s="16" t="inlineStr">
        <is>
          <t>NOT ASSESSED</t>
        </is>
      </c>
      <c r="J15" s="17" t="inlineStr"/>
      <c r="K15" s="17" t="inlineStr">
        <is>
          <t>No</t>
        </is>
      </c>
      <c r="L15" s="17" t="n">
        <v>1</v>
      </c>
      <c r="M15" s="17">
        <f>IF(AND(K15="Yes",I15="NOT MET",J15="PARTIALLY IMPLEMENTED"),"Yes","No")</f>
        <v/>
      </c>
      <c r="N15" s="17">
        <f>IF(OR(I15="MET",I15="NOT APPLICABLE",I15="NOT ASSESSED"),0,IF(AND(K15="Yes",J15="PARTIALLY IMPLEMENTED"),3,L15))</f>
        <v/>
      </c>
      <c r="O15" s="16" t="inlineStr">
        <is>
          <t>Not Started</t>
        </is>
      </c>
      <c r="P15" s="16" t="inlineStr"/>
      <c r="Q15" s="16" t="inlineStr"/>
      <c r="R15" s="16" t="inlineStr"/>
      <c r="S15" s="17">
        <f>IF(I15="NOT MET","Yes","No")</f>
        <v/>
      </c>
      <c r="T15" s="17" t="inlineStr"/>
      <c r="U15" s="17" t="inlineStr">
        <is>
          <t>32 CFR 170.24(c)(2) | Current eCFR</t>
        </is>
      </c>
      <c r="V15" s="17">
        <f>IF(I15="MET","Requirement assessed MET; no deduction.",IF(I15="NOT APPLICABLE","Requirement assessed NOT APPLICABLE; no deduction.",IF(I15="NOT ASSESSED","Requirement not assessed; score remains provisional.",IF(M15="Yes","Partial-credit condition applied; 3 points deducted.","Requirement assessed NOT MET; "&amp;L15&amp;" points deducted."))))</f>
        <v/>
      </c>
    </row>
    <row r="16">
      <c r="A16" s="15" t="inlineStr">
        <is>
          <t>AC</t>
        </is>
      </c>
      <c r="B16" s="15" t="inlineStr">
        <is>
          <t>AC.L2-3.1.11</t>
        </is>
      </c>
      <c r="C16" s="15" t="inlineStr">
        <is>
          <t>Session Termination</t>
        </is>
      </c>
      <c r="D16" s="15" t="inlineStr">
        <is>
          <t>Terminate (automatically) a user session after a defined condition.</t>
        </is>
      </c>
      <c r="E16" s="15" t="n">
        <v>46</v>
      </c>
      <c r="F16" s="15" t="n">
        <v>47</v>
      </c>
      <c r="G16" s="16" t="inlineStr">
        <is>
          <t>Yes</t>
        </is>
      </c>
      <c r="H16" s="17" t="inlineStr">
        <is>
          <t>ONE_POINT</t>
        </is>
      </c>
      <c r="I16" s="16" t="inlineStr">
        <is>
          <t>NOT ASSESSED</t>
        </is>
      </c>
      <c r="J16" s="17" t="inlineStr"/>
      <c r="K16" s="17" t="inlineStr">
        <is>
          <t>No</t>
        </is>
      </c>
      <c r="L16" s="17" t="n">
        <v>1</v>
      </c>
      <c r="M16" s="17">
        <f>IF(AND(K16="Yes",I16="NOT MET",J16="PARTIALLY IMPLEMENTED"),"Yes","No")</f>
        <v/>
      </c>
      <c r="N16" s="17">
        <f>IF(OR(I16="MET",I16="NOT APPLICABLE",I16="NOT ASSESSED"),0,IF(AND(K16="Yes",J16="PARTIALLY IMPLEMENTED"),3,L16))</f>
        <v/>
      </c>
      <c r="O16" s="16" t="inlineStr">
        <is>
          <t>Not Started</t>
        </is>
      </c>
      <c r="P16" s="16" t="inlineStr"/>
      <c r="Q16" s="16" t="inlineStr"/>
      <c r="R16" s="16" t="inlineStr"/>
      <c r="S16" s="17">
        <f>IF(I16="NOT MET","Yes","No")</f>
        <v/>
      </c>
      <c r="T16" s="17" t="inlineStr"/>
      <c r="U16" s="17" t="inlineStr">
        <is>
          <t>32 CFR 170.24(c)(2) | Current eCFR</t>
        </is>
      </c>
      <c r="V16" s="17">
        <f>IF(I16="MET","Requirement assessed MET; no deduction.",IF(I16="NOT APPLICABLE","Requirement assessed NOT APPLICABLE; no deduction.",IF(I16="NOT ASSESSED","Requirement not assessed; score remains provisional.",IF(M16="Yes","Partial-credit condition applied; 3 points deducted.","Requirement assessed NOT MET; "&amp;L16&amp;" points deducted."))))</f>
        <v/>
      </c>
    </row>
    <row r="17">
      <c r="A17" s="15" t="inlineStr">
        <is>
          <t>AC</t>
        </is>
      </c>
      <c r="B17" s="15" t="inlineStr">
        <is>
          <t>AC.L2-3.1.12</t>
        </is>
      </c>
      <c r="C17" s="15" t="inlineStr">
        <is>
          <t>Control Remote Access</t>
        </is>
      </c>
      <c r="D17" s="15" t="inlineStr">
        <is>
          <t>Monitor and control remote access sessions.</t>
        </is>
      </c>
      <c r="E17" s="15" t="n">
        <v>48</v>
      </c>
      <c r="F17" s="15" t="n">
        <v>50</v>
      </c>
      <c r="G17" s="16" t="inlineStr">
        <is>
          <t>Yes</t>
        </is>
      </c>
      <c r="H17" s="17" t="inlineStr">
        <is>
          <t>FIVE_POINT</t>
        </is>
      </c>
      <c r="I17" s="16" t="inlineStr">
        <is>
          <t>NOT ASSESSED</t>
        </is>
      </c>
      <c r="J17" s="17" t="inlineStr"/>
      <c r="K17" s="17" t="inlineStr">
        <is>
          <t>No</t>
        </is>
      </c>
      <c r="L17" s="17" t="n">
        <v>5</v>
      </c>
      <c r="M17" s="17">
        <f>IF(AND(K17="Yes",I17="NOT MET",J17="PARTIALLY IMPLEMENTED"),"Yes","No")</f>
        <v/>
      </c>
      <c r="N17" s="17">
        <f>IF(OR(I17="MET",I17="NOT APPLICABLE",I17="NOT ASSESSED"),0,IF(AND(K17="Yes",J17="PARTIALLY IMPLEMENTED"),3,L17))</f>
        <v/>
      </c>
      <c r="O17" s="16" t="inlineStr">
        <is>
          <t>Not Started</t>
        </is>
      </c>
      <c r="P17" s="16" t="inlineStr"/>
      <c r="Q17" s="16" t="inlineStr"/>
      <c r="R17" s="16" t="inlineStr"/>
      <c r="S17" s="17">
        <f>IF(I17="NOT MET","Yes","No")</f>
        <v/>
      </c>
      <c r="T17" s="17" t="inlineStr"/>
      <c r="U17" s="17" t="inlineStr">
        <is>
          <t>32 CFR 170.24(c)(2) | Current eCFR</t>
        </is>
      </c>
      <c r="V17" s="17">
        <f>IF(I17="MET","Requirement assessed MET; no deduction.",IF(I17="NOT APPLICABLE","Requirement assessed NOT APPLICABLE; no deduction.",IF(I17="NOT ASSESSED","Requirement not assessed; score remains provisional.",IF(M17="Yes","Partial-credit condition applied; 3 points deducted.","Requirement assessed NOT MET; "&amp;L17&amp;" points deducted."))))</f>
        <v/>
      </c>
    </row>
    <row r="18">
      <c r="A18" s="15" t="inlineStr">
        <is>
          <t>AC</t>
        </is>
      </c>
      <c r="B18" s="15" t="inlineStr">
        <is>
          <t>AC.L2-3.1.13</t>
        </is>
      </c>
      <c r="C18" s="15" t="inlineStr">
        <is>
          <t>Remote Access Confidentiality</t>
        </is>
      </c>
      <c r="D18" s="15" t="inlineStr">
        <is>
          <t>Employ cryptographic mechanisms to protect the confidentiality of remote access sessions.</t>
        </is>
      </c>
      <c r="E18" s="15" t="n">
        <v>51</v>
      </c>
      <c r="F18" s="15" t="n">
        <v>52</v>
      </c>
      <c r="G18" s="16" t="inlineStr">
        <is>
          <t>Yes</t>
        </is>
      </c>
      <c r="H18" s="17" t="inlineStr">
        <is>
          <t>FIVE_POINT</t>
        </is>
      </c>
      <c r="I18" s="16" t="inlineStr">
        <is>
          <t>NOT ASSESSED</t>
        </is>
      </c>
      <c r="J18" s="17" t="inlineStr"/>
      <c r="K18" s="17" t="inlineStr">
        <is>
          <t>No</t>
        </is>
      </c>
      <c r="L18" s="17" t="n">
        <v>5</v>
      </c>
      <c r="M18" s="17">
        <f>IF(AND(K18="Yes",I18="NOT MET",J18="PARTIALLY IMPLEMENTED"),"Yes","No")</f>
        <v/>
      </c>
      <c r="N18" s="17">
        <f>IF(OR(I18="MET",I18="NOT APPLICABLE",I18="NOT ASSESSED"),0,IF(AND(K18="Yes",J18="PARTIALLY IMPLEMENTED"),3,L18))</f>
        <v/>
      </c>
      <c r="O18" s="16" t="inlineStr">
        <is>
          <t>Not Started</t>
        </is>
      </c>
      <c r="P18" s="16" t="inlineStr"/>
      <c r="Q18" s="16" t="inlineStr"/>
      <c r="R18" s="16" t="inlineStr"/>
      <c r="S18" s="17">
        <f>IF(I18="NOT MET","Yes","No")</f>
        <v/>
      </c>
      <c r="T18" s="17" t="inlineStr"/>
      <c r="U18" s="17" t="inlineStr">
        <is>
          <t>32 CFR 170.24(c)(2) | Current eCFR</t>
        </is>
      </c>
      <c r="V18" s="17">
        <f>IF(I18="MET","Requirement assessed MET; no deduction.",IF(I18="NOT APPLICABLE","Requirement assessed NOT APPLICABLE; no deduction.",IF(I18="NOT ASSESSED","Requirement not assessed; score remains provisional.",IF(M18="Yes","Partial-credit condition applied; 3 points deducted.","Requirement assessed NOT MET; "&amp;L18&amp;" points deducted."))))</f>
        <v/>
      </c>
    </row>
    <row r="19">
      <c r="A19" s="15" t="inlineStr">
        <is>
          <t>AC</t>
        </is>
      </c>
      <c r="B19" s="15" t="inlineStr">
        <is>
          <t>AC.L2-3.1.14</t>
        </is>
      </c>
      <c r="C19" s="15" t="inlineStr">
        <is>
          <t>Remote Access Routing</t>
        </is>
      </c>
      <c r="D19" s="15" t="inlineStr">
        <is>
          <t>Route remote access via managed access control points.</t>
        </is>
      </c>
      <c r="E19" s="15" t="n">
        <v>53</v>
      </c>
      <c r="F19" s="15" t="n">
        <v>54</v>
      </c>
      <c r="G19" s="16" t="inlineStr">
        <is>
          <t>Yes</t>
        </is>
      </c>
      <c r="H19" s="17" t="inlineStr">
        <is>
          <t>ONE_POINT</t>
        </is>
      </c>
      <c r="I19" s="16" t="inlineStr">
        <is>
          <t>NOT ASSESSED</t>
        </is>
      </c>
      <c r="J19" s="17" t="inlineStr"/>
      <c r="K19" s="17" t="inlineStr">
        <is>
          <t>No</t>
        </is>
      </c>
      <c r="L19" s="17" t="n">
        <v>1</v>
      </c>
      <c r="M19" s="17">
        <f>IF(AND(K19="Yes",I19="NOT MET",J19="PARTIALLY IMPLEMENTED"),"Yes","No")</f>
        <v/>
      </c>
      <c r="N19" s="17">
        <f>IF(OR(I19="MET",I19="NOT APPLICABLE",I19="NOT ASSESSED"),0,IF(AND(K19="Yes",J19="PARTIALLY IMPLEMENTED"),3,L19))</f>
        <v/>
      </c>
      <c r="O19" s="16" t="inlineStr">
        <is>
          <t>Not Started</t>
        </is>
      </c>
      <c r="P19" s="16" t="inlineStr"/>
      <c r="Q19" s="16" t="inlineStr"/>
      <c r="R19" s="16" t="inlineStr"/>
      <c r="S19" s="17">
        <f>IF(I19="NOT MET","Yes","No")</f>
        <v/>
      </c>
      <c r="T19" s="17" t="inlineStr"/>
      <c r="U19" s="17" t="inlineStr">
        <is>
          <t>32 CFR 170.24(c)(2) | Current eCFR</t>
        </is>
      </c>
      <c r="V19" s="17">
        <f>IF(I19="MET","Requirement assessed MET; no deduction.",IF(I19="NOT APPLICABLE","Requirement assessed NOT APPLICABLE; no deduction.",IF(I19="NOT ASSESSED","Requirement not assessed; score remains provisional.",IF(M19="Yes","Partial-credit condition applied; 3 points deducted.","Requirement assessed NOT MET; "&amp;L19&amp;" points deducted."))))</f>
        <v/>
      </c>
    </row>
    <row r="20">
      <c r="A20" s="15" t="inlineStr">
        <is>
          <t>AC</t>
        </is>
      </c>
      <c r="B20" s="15" t="inlineStr">
        <is>
          <t>AC.L2-3.1.15</t>
        </is>
      </c>
      <c r="C20" s="15" t="inlineStr">
        <is>
          <t>Privileged Remote Access</t>
        </is>
      </c>
      <c r="D20" s="15" t="inlineStr">
        <is>
          <t>Authorize remote execution of privileged commands and remote access to security-relevant information.</t>
        </is>
      </c>
      <c r="E20" s="15" t="n">
        <v>55</v>
      </c>
      <c r="F20" s="15" t="n">
        <v>57</v>
      </c>
      <c r="G20" s="16" t="inlineStr">
        <is>
          <t>Yes</t>
        </is>
      </c>
      <c r="H20" s="17" t="inlineStr">
        <is>
          <t>ONE_POINT</t>
        </is>
      </c>
      <c r="I20" s="16" t="inlineStr">
        <is>
          <t>NOT ASSESSED</t>
        </is>
      </c>
      <c r="J20" s="17" t="inlineStr"/>
      <c r="K20" s="17" t="inlineStr">
        <is>
          <t>No</t>
        </is>
      </c>
      <c r="L20" s="17" t="n">
        <v>1</v>
      </c>
      <c r="M20" s="17">
        <f>IF(AND(K20="Yes",I20="NOT MET",J20="PARTIALLY IMPLEMENTED"),"Yes","No")</f>
        <v/>
      </c>
      <c r="N20" s="17">
        <f>IF(OR(I20="MET",I20="NOT APPLICABLE",I20="NOT ASSESSED"),0,IF(AND(K20="Yes",J20="PARTIALLY IMPLEMENTED"),3,L20))</f>
        <v/>
      </c>
      <c r="O20" s="16" t="inlineStr">
        <is>
          <t>Not Started</t>
        </is>
      </c>
      <c r="P20" s="16" t="inlineStr"/>
      <c r="Q20" s="16" t="inlineStr"/>
      <c r="R20" s="16" t="inlineStr"/>
      <c r="S20" s="17">
        <f>IF(I20="NOT MET","Yes","No")</f>
        <v/>
      </c>
      <c r="T20" s="17" t="inlineStr"/>
      <c r="U20" s="17" t="inlineStr">
        <is>
          <t>32 CFR 170.24(c)(2) | Current eCFR</t>
        </is>
      </c>
      <c r="V20" s="17">
        <f>IF(I20="MET","Requirement assessed MET; no deduction.",IF(I20="NOT APPLICABLE","Requirement assessed NOT APPLICABLE; no deduction.",IF(I20="NOT ASSESSED","Requirement not assessed; score remains provisional.",IF(M20="Yes","Partial-credit condition applied; 3 points deducted.","Requirement assessed NOT MET; "&amp;L20&amp;" points deducted."))))</f>
        <v/>
      </c>
    </row>
    <row r="21">
      <c r="A21" s="15" t="inlineStr">
        <is>
          <t>AC</t>
        </is>
      </c>
      <c r="B21" s="15" t="inlineStr">
        <is>
          <t>AC.L2-3.1.16</t>
        </is>
      </c>
      <c r="C21" s="15" t="inlineStr">
        <is>
          <t>Wireless Access Authorization</t>
        </is>
      </c>
      <c r="D21" s="15" t="inlineStr">
        <is>
          <t>Authorize wireless access prior to allowing such connections.</t>
        </is>
      </c>
      <c r="E21" s="15" t="n">
        <v>58</v>
      </c>
      <c r="F21" s="15" t="n">
        <v>59</v>
      </c>
      <c r="G21" s="16" t="inlineStr">
        <is>
          <t>Yes</t>
        </is>
      </c>
      <c r="H21" s="17" t="inlineStr">
        <is>
          <t>FIVE_POINT</t>
        </is>
      </c>
      <c r="I21" s="16" t="inlineStr">
        <is>
          <t>NOT ASSESSED</t>
        </is>
      </c>
      <c r="J21" s="17" t="inlineStr"/>
      <c r="K21" s="17" t="inlineStr">
        <is>
          <t>No</t>
        </is>
      </c>
      <c r="L21" s="17" t="n">
        <v>5</v>
      </c>
      <c r="M21" s="17">
        <f>IF(AND(K21="Yes",I21="NOT MET",J21="PARTIALLY IMPLEMENTED"),"Yes","No")</f>
        <v/>
      </c>
      <c r="N21" s="17">
        <f>IF(OR(I21="MET",I21="NOT APPLICABLE",I21="NOT ASSESSED"),0,IF(AND(K21="Yes",J21="PARTIALLY IMPLEMENTED"),3,L21))</f>
        <v/>
      </c>
      <c r="O21" s="16" t="inlineStr">
        <is>
          <t>Not Started</t>
        </is>
      </c>
      <c r="P21" s="16" t="inlineStr"/>
      <c r="Q21" s="16" t="inlineStr"/>
      <c r="R21" s="16" t="inlineStr"/>
      <c r="S21" s="17">
        <f>IF(I21="NOT MET","Yes","No")</f>
        <v/>
      </c>
      <c r="T21" s="17" t="inlineStr"/>
      <c r="U21" s="17" t="inlineStr">
        <is>
          <t>32 CFR 170.24(c)(2) | Current eCFR</t>
        </is>
      </c>
      <c r="V21" s="17">
        <f>IF(I21="MET","Requirement assessed MET; no deduction.",IF(I21="NOT APPLICABLE","Requirement assessed NOT APPLICABLE; no deduction.",IF(I21="NOT ASSESSED","Requirement not assessed; score remains provisional.",IF(M21="Yes","Partial-credit condition applied; 3 points deducted.","Requirement assessed NOT MET; "&amp;L21&amp;" points deducted."))))</f>
        <v/>
      </c>
    </row>
    <row r="22">
      <c r="A22" s="15" t="inlineStr">
        <is>
          <t>AC</t>
        </is>
      </c>
      <c r="B22" s="15" t="inlineStr">
        <is>
          <t>AC.L2-3.1.17</t>
        </is>
      </c>
      <c r="C22" s="15" t="inlineStr">
        <is>
          <t>Wireless Access Protection</t>
        </is>
      </c>
      <c r="D22" s="15" t="inlineStr">
        <is>
          <t>Protect wireless access using authentication and encryption.</t>
        </is>
      </c>
      <c r="E22" s="15" t="n">
        <v>60</v>
      </c>
      <c r="F22" s="15" t="n">
        <v>61</v>
      </c>
      <c r="G22" s="16" t="inlineStr">
        <is>
          <t>Yes</t>
        </is>
      </c>
      <c r="H22" s="17" t="inlineStr">
        <is>
          <t>FIVE_POINT</t>
        </is>
      </c>
      <c r="I22" s="16" t="inlineStr">
        <is>
          <t>NOT ASSESSED</t>
        </is>
      </c>
      <c r="J22" s="17" t="inlineStr"/>
      <c r="K22" s="17" t="inlineStr">
        <is>
          <t>No</t>
        </is>
      </c>
      <c r="L22" s="17" t="n">
        <v>5</v>
      </c>
      <c r="M22" s="17">
        <f>IF(AND(K22="Yes",I22="NOT MET",J22="PARTIALLY IMPLEMENTED"),"Yes","No")</f>
        <v/>
      </c>
      <c r="N22" s="17">
        <f>IF(OR(I22="MET",I22="NOT APPLICABLE",I22="NOT ASSESSED"),0,IF(AND(K22="Yes",J22="PARTIALLY IMPLEMENTED"),3,L22))</f>
        <v/>
      </c>
      <c r="O22" s="16" t="inlineStr">
        <is>
          <t>Not Started</t>
        </is>
      </c>
      <c r="P22" s="16" t="inlineStr"/>
      <c r="Q22" s="16" t="inlineStr"/>
      <c r="R22" s="16" t="inlineStr"/>
      <c r="S22" s="17">
        <f>IF(I22="NOT MET","Yes","No")</f>
        <v/>
      </c>
      <c r="T22" s="17" t="inlineStr"/>
      <c r="U22" s="17" t="inlineStr">
        <is>
          <t>32 CFR 170.24(c)(2) | Current eCFR</t>
        </is>
      </c>
      <c r="V22" s="17">
        <f>IF(I22="MET","Requirement assessed MET; no deduction.",IF(I22="NOT APPLICABLE","Requirement assessed NOT APPLICABLE; no deduction.",IF(I22="NOT ASSESSED","Requirement not assessed; score remains provisional.",IF(M22="Yes","Partial-credit condition applied; 3 points deducted.","Requirement assessed NOT MET; "&amp;L22&amp;" points deducted."))))</f>
        <v/>
      </c>
    </row>
    <row r="23">
      <c r="A23" s="15" t="inlineStr">
        <is>
          <t>AC</t>
        </is>
      </c>
      <c r="B23" s="15" t="inlineStr">
        <is>
          <t>AC.L2-3.1.18</t>
        </is>
      </c>
      <c r="C23" s="15" t="inlineStr">
        <is>
          <t>Mobile Device Connection</t>
        </is>
      </c>
      <c r="D23" s="15" t="inlineStr">
        <is>
          <t>Control connection of mobile devices.</t>
        </is>
      </c>
      <c r="E23" s="15" t="n">
        <v>62</v>
      </c>
      <c r="F23" s="15" t="n">
        <v>63</v>
      </c>
      <c r="G23" s="16" t="inlineStr">
        <is>
          <t>Yes</t>
        </is>
      </c>
      <c r="H23" s="17" t="inlineStr">
        <is>
          <t>FIVE_POINT</t>
        </is>
      </c>
      <c r="I23" s="16" t="inlineStr">
        <is>
          <t>NOT ASSESSED</t>
        </is>
      </c>
      <c r="J23" s="17" t="inlineStr"/>
      <c r="K23" s="17" t="inlineStr">
        <is>
          <t>No</t>
        </is>
      </c>
      <c r="L23" s="17" t="n">
        <v>5</v>
      </c>
      <c r="M23" s="17">
        <f>IF(AND(K23="Yes",I23="NOT MET",J23="PARTIALLY IMPLEMENTED"),"Yes","No")</f>
        <v/>
      </c>
      <c r="N23" s="17">
        <f>IF(OR(I23="MET",I23="NOT APPLICABLE",I23="NOT ASSESSED"),0,IF(AND(K23="Yes",J23="PARTIALLY IMPLEMENTED"),3,L23))</f>
        <v/>
      </c>
      <c r="O23" s="16" t="inlineStr">
        <is>
          <t>Not Started</t>
        </is>
      </c>
      <c r="P23" s="16" t="inlineStr"/>
      <c r="Q23" s="16" t="inlineStr"/>
      <c r="R23" s="16" t="inlineStr"/>
      <c r="S23" s="17">
        <f>IF(I23="NOT MET","Yes","No")</f>
        <v/>
      </c>
      <c r="T23" s="17" t="inlineStr"/>
      <c r="U23" s="17" t="inlineStr">
        <is>
          <t>32 CFR 170.24(c)(2) | Current eCFR</t>
        </is>
      </c>
      <c r="V23" s="17">
        <f>IF(I23="MET","Requirement assessed MET; no deduction.",IF(I23="NOT APPLICABLE","Requirement assessed NOT APPLICABLE; no deduction.",IF(I23="NOT ASSESSED","Requirement not assessed; score remains provisional.",IF(M23="Yes","Partial-credit condition applied; 3 points deducted.","Requirement assessed NOT MET; "&amp;L23&amp;" points deducted."))))</f>
        <v/>
      </c>
    </row>
    <row r="24">
      <c r="A24" s="15" t="inlineStr">
        <is>
          <t>AC</t>
        </is>
      </c>
      <c r="B24" s="15" t="inlineStr">
        <is>
          <t>AC.L2-3.1.19</t>
        </is>
      </c>
      <c r="C24" s="15" t="inlineStr">
        <is>
          <t>Encrypt CUI on Mobile</t>
        </is>
      </c>
      <c r="D24" s="15" t="inlineStr">
        <is>
          <t>Encrypt CUI on mobile devices and mobile computing platforms.</t>
        </is>
      </c>
      <c r="E24" s="15" t="n">
        <v>64</v>
      </c>
      <c r="F24" s="15" t="n">
        <v>65</v>
      </c>
      <c r="G24" s="16" t="inlineStr">
        <is>
          <t>Yes</t>
        </is>
      </c>
      <c r="H24" s="17" t="inlineStr">
        <is>
          <t>THREE_POINT</t>
        </is>
      </c>
      <c r="I24" s="16" t="inlineStr">
        <is>
          <t>NOT ASSESSED</t>
        </is>
      </c>
      <c r="J24" s="17" t="inlineStr"/>
      <c r="K24" s="17" t="inlineStr">
        <is>
          <t>No</t>
        </is>
      </c>
      <c r="L24" s="17" t="n">
        <v>3</v>
      </c>
      <c r="M24" s="17">
        <f>IF(AND(K24="Yes",I24="NOT MET",J24="PARTIALLY IMPLEMENTED"),"Yes","No")</f>
        <v/>
      </c>
      <c r="N24" s="17">
        <f>IF(OR(I24="MET",I24="NOT APPLICABLE",I24="NOT ASSESSED"),0,IF(AND(K24="Yes",J24="PARTIALLY IMPLEMENTED"),3,L24))</f>
        <v/>
      </c>
      <c r="O24" s="16" t="inlineStr">
        <is>
          <t>Not Started</t>
        </is>
      </c>
      <c r="P24" s="16" t="inlineStr"/>
      <c r="Q24" s="16" t="inlineStr"/>
      <c r="R24" s="16" t="inlineStr"/>
      <c r="S24" s="17">
        <f>IF(I24="NOT MET","Yes","No")</f>
        <v/>
      </c>
      <c r="T24" s="17" t="inlineStr"/>
      <c r="U24" s="17" t="inlineStr">
        <is>
          <t>32 CFR 170.24(c)(2) | Current eCFR</t>
        </is>
      </c>
      <c r="V24" s="17">
        <f>IF(I24="MET","Requirement assessed MET; no deduction.",IF(I24="NOT APPLICABLE","Requirement assessed NOT APPLICABLE; no deduction.",IF(I24="NOT ASSESSED","Requirement not assessed; score remains provisional.",IF(M24="Yes","Partial-credit condition applied; 3 points deducted.","Requirement assessed NOT MET; "&amp;L24&amp;" points deducted."))))</f>
        <v/>
      </c>
    </row>
    <row r="25">
      <c r="A25" s="15" t="inlineStr">
        <is>
          <t>AC</t>
        </is>
      </c>
      <c r="B25" s="15" t="inlineStr">
        <is>
          <t>AC.L2-3.1.20</t>
        </is>
      </c>
      <c r="C25" s="15" t="inlineStr">
        <is>
          <t>External Connections [CUI Data]</t>
        </is>
      </c>
      <c r="D25" s="15" t="inlineStr">
        <is>
          <t>Verify and control/limit connections to and use of external systems.</t>
        </is>
      </c>
      <c r="E25" s="15" t="n">
        <v>66</v>
      </c>
      <c r="F25" s="15" t="n">
        <v>68</v>
      </c>
      <c r="G25" s="16" t="inlineStr">
        <is>
          <t>Yes</t>
        </is>
      </c>
      <c r="H25" s="17" t="inlineStr">
        <is>
          <t>ONE_POINT</t>
        </is>
      </c>
      <c r="I25" s="16" t="inlineStr">
        <is>
          <t>NOT ASSESSED</t>
        </is>
      </c>
      <c r="J25" s="17" t="inlineStr"/>
      <c r="K25" s="17" t="inlineStr">
        <is>
          <t>No</t>
        </is>
      </c>
      <c r="L25" s="17" t="n">
        <v>1</v>
      </c>
      <c r="M25" s="17">
        <f>IF(AND(K25="Yes",I25="NOT MET",J25="PARTIALLY IMPLEMENTED"),"Yes","No")</f>
        <v/>
      </c>
      <c r="N25" s="17">
        <f>IF(OR(I25="MET",I25="NOT APPLICABLE",I25="NOT ASSESSED"),0,IF(AND(K25="Yes",J25="PARTIALLY IMPLEMENTED"),3,L25))</f>
        <v/>
      </c>
      <c r="O25" s="16" t="inlineStr">
        <is>
          <t>Not Started</t>
        </is>
      </c>
      <c r="P25" s="16" t="inlineStr"/>
      <c r="Q25" s="16" t="inlineStr"/>
      <c r="R25" s="16" t="inlineStr"/>
      <c r="S25" s="17">
        <f>IF(I25="NOT MET","Yes","No")</f>
        <v/>
      </c>
      <c r="T25" s="17" t="inlineStr"/>
      <c r="U25" s="17" t="inlineStr">
        <is>
          <t>32 CFR 170.24(c)(2) | Current eCFR</t>
        </is>
      </c>
      <c r="V25" s="17">
        <f>IF(I25="MET","Requirement assessed MET; no deduction.",IF(I25="NOT APPLICABLE","Requirement assessed NOT APPLICABLE; no deduction.",IF(I25="NOT ASSESSED","Requirement not assessed; score remains provisional.",IF(M25="Yes","Partial-credit condition applied; 3 points deducted.","Requirement assessed NOT MET; "&amp;L25&amp;" points deducted."))))</f>
        <v/>
      </c>
    </row>
    <row r="26">
      <c r="A26" s="15" t="inlineStr">
        <is>
          <t>AC</t>
        </is>
      </c>
      <c r="B26" s="15" t="inlineStr">
        <is>
          <t>AC.L2-3.1.21</t>
        </is>
      </c>
      <c r="C26" s="15" t="inlineStr">
        <is>
          <t>Portable Storage Use</t>
        </is>
      </c>
      <c r="D26" s="15" t="inlineStr">
        <is>
          <t>Limit use of portable storage devices on external systems.</t>
        </is>
      </c>
      <c r="E26" s="15" t="n">
        <v>69</v>
      </c>
      <c r="F26" s="15" t="n">
        <v>70</v>
      </c>
      <c r="G26" s="16" t="inlineStr">
        <is>
          <t>Yes</t>
        </is>
      </c>
      <c r="H26" s="17" t="inlineStr">
        <is>
          <t>ONE_POINT</t>
        </is>
      </c>
      <c r="I26" s="16" t="inlineStr">
        <is>
          <t>NOT ASSESSED</t>
        </is>
      </c>
      <c r="J26" s="17" t="inlineStr"/>
      <c r="K26" s="17" t="inlineStr">
        <is>
          <t>No</t>
        </is>
      </c>
      <c r="L26" s="17" t="n">
        <v>1</v>
      </c>
      <c r="M26" s="17">
        <f>IF(AND(K26="Yes",I26="NOT MET",J26="PARTIALLY IMPLEMENTED"),"Yes","No")</f>
        <v/>
      </c>
      <c r="N26" s="17">
        <f>IF(OR(I26="MET",I26="NOT APPLICABLE",I26="NOT ASSESSED"),0,IF(AND(K26="Yes",J26="PARTIALLY IMPLEMENTED"),3,L26))</f>
        <v/>
      </c>
      <c r="O26" s="16" t="inlineStr">
        <is>
          <t>Not Started</t>
        </is>
      </c>
      <c r="P26" s="16" t="inlineStr"/>
      <c r="Q26" s="16" t="inlineStr"/>
      <c r="R26" s="16" t="inlineStr"/>
      <c r="S26" s="17">
        <f>IF(I26="NOT MET","Yes","No")</f>
        <v/>
      </c>
      <c r="T26" s="17" t="inlineStr"/>
      <c r="U26" s="17" t="inlineStr">
        <is>
          <t>32 CFR 170.24(c)(2) | Current eCFR</t>
        </is>
      </c>
      <c r="V26" s="17">
        <f>IF(I26="MET","Requirement assessed MET; no deduction.",IF(I26="NOT APPLICABLE","Requirement assessed NOT APPLICABLE; no deduction.",IF(I26="NOT ASSESSED","Requirement not assessed; score remains provisional.",IF(M26="Yes","Partial-credit condition applied; 3 points deducted.","Requirement assessed NOT MET; "&amp;L26&amp;" points deducted."))))</f>
        <v/>
      </c>
    </row>
    <row r="27">
      <c r="A27" s="15" t="inlineStr">
        <is>
          <t>AC</t>
        </is>
      </c>
      <c r="B27" s="15" t="inlineStr">
        <is>
          <t>AC.L2-3.1.22</t>
        </is>
      </c>
      <c r="C27" s="15" t="inlineStr">
        <is>
          <t>Control Public Information [CUI Data]</t>
        </is>
      </c>
      <c r="D27" s="15" t="inlineStr">
        <is>
          <t>Control CUI posted or processed on publicly accessible systems.</t>
        </is>
      </c>
      <c r="E27" s="15" t="n">
        <v>71</v>
      </c>
      <c r="F27" s="15" t="n">
        <v>72</v>
      </c>
      <c r="G27" s="16" t="inlineStr">
        <is>
          <t>Yes</t>
        </is>
      </c>
      <c r="H27" s="17" t="inlineStr">
        <is>
          <t>ONE_POINT</t>
        </is>
      </c>
      <c r="I27" s="16" t="inlineStr">
        <is>
          <t>NOT ASSESSED</t>
        </is>
      </c>
      <c r="J27" s="17" t="inlineStr"/>
      <c r="K27" s="17" t="inlineStr">
        <is>
          <t>No</t>
        </is>
      </c>
      <c r="L27" s="17" t="n">
        <v>1</v>
      </c>
      <c r="M27" s="17">
        <f>IF(AND(K27="Yes",I27="NOT MET",J27="PARTIALLY IMPLEMENTED"),"Yes","No")</f>
        <v/>
      </c>
      <c r="N27" s="17">
        <f>IF(OR(I27="MET",I27="NOT APPLICABLE",I27="NOT ASSESSED"),0,IF(AND(K27="Yes",J27="PARTIALLY IMPLEMENTED"),3,L27))</f>
        <v/>
      </c>
      <c r="O27" s="16" t="inlineStr">
        <is>
          <t>Not Started</t>
        </is>
      </c>
      <c r="P27" s="16" t="inlineStr"/>
      <c r="Q27" s="16" t="inlineStr"/>
      <c r="R27" s="16" t="inlineStr"/>
      <c r="S27" s="17">
        <f>IF(I27="NOT MET","Yes","No")</f>
        <v/>
      </c>
      <c r="T27" s="17" t="inlineStr"/>
      <c r="U27" s="17" t="inlineStr">
        <is>
          <t>32 CFR 170.24(c)(2) | Current eCFR</t>
        </is>
      </c>
      <c r="V27" s="17">
        <f>IF(I27="MET","Requirement assessed MET; no deduction.",IF(I27="NOT APPLICABLE","Requirement assessed NOT APPLICABLE; no deduction.",IF(I27="NOT ASSESSED","Requirement not assessed; score remains provisional.",IF(M27="Yes","Partial-credit condition applied; 3 points deducted.","Requirement assessed NOT MET; "&amp;L27&amp;" points deducted."))))</f>
        <v/>
      </c>
    </row>
    <row r="28">
      <c r="A28" s="15" t="inlineStr">
        <is>
          <t>AT</t>
        </is>
      </c>
      <c r="B28" s="15" t="inlineStr">
        <is>
          <t>AT.L2-3.2.1</t>
        </is>
      </c>
      <c r="C28" s="15" t="inlineStr">
        <is>
          <t>Role-Based Risk Awareness</t>
        </is>
      </c>
      <c r="D28" s="15" t="inlineStr">
        <is>
          <t>Ensure that managers, system s administrators, and users of organizational systems are made aware of the security risks associated with their activities and of the applicable policies, standards, and procedures related to the security of those systems.</t>
        </is>
      </c>
      <c r="E28" s="15" t="n">
        <v>73</v>
      </c>
      <c r="F28" s="15" t="n">
        <v>75</v>
      </c>
      <c r="G28" s="16" t="inlineStr">
        <is>
          <t>Yes</t>
        </is>
      </c>
      <c r="H28" s="17" t="inlineStr">
        <is>
          <t>FIVE_POINT</t>
        </is>
      </c>
      <c r="I28" s="16" t="inlineStr">
        <is>
          <t>NOT ASSESSED</t>
        </is>
      </c>
      <c r="J28" s="17" t="inlineStr"/>
      <c r="K28" s="17" t="inlineStr">
        <is>
          <t>No</t>
        </is>
      </c>
      <c r="L28" s="17" t="n">
        <v>5</v>
      </c>
      <c r="M28" s="17">
        <f>IF(AND(K28="Yes",I28="NOT MET",J28="PARTIALLY IMPLEMENTED"),"Yes","No")</f>
        <v/>
      </c>
      <c r="N28" s="17">
        <f>IF(OR(I28="MET",I28="NOT APPLICABLE",I28="NOT ASSESSED"),0,IF(AND(K28="Yes",J28="PARTIALLY IMPLEMENTED"),3,L28))</f>
        <v/>
      </c>
      <c r="O28" s="16" t="inlineStr">
        <is>
          <t>Not Started</t>
        </is>
      </c>
      <c r="P28" s="16" t="inlineStr"/>
      <c r="Q28" s="16" t="inlineStr"/>
      <c r="R28" s="16" t="inlineStr"/>
      <c r="S28" s="17">
        <f>IF(I28="NOT MET","Yes","No")</f>
        <v/>
      </c>
      <c r="T28" s="17" t="inlineStr"/>
      <c r="U28" s="17" t="inlineStr">
        <is>
          <t>32 CFR 170.24(c)(2) | Current eCFR</t>
        </is>
      </c>
      <c r="V28" s="17">
        <f>IF(I28="MET","Requirement assessed MET; no deduction.",IF(I28="NOT APPLICABLE","Requirement assessed NOT APPLICABLE; no deduction.",IF(I28="NOT ASSESSED","Requirement not assessed; score remains provisional.",IF(M28="Yes","Partial-credit condition applied; 3 points deducted.","Requirement assessed NOT MET; "&amp;L28&amp;" points deducted."))))</f>
        <v/>
      </c>
    </row>
    <row r="29">
      <c r="A29" s="15" t="inlineStr">
        <is>
          <t>AT</t>
        </is>
      </c>
      <c r="B29" s="15" t="inlineStr">
        <is>
          <t>AT.L2-3.2.2</t>
        </is>
      </c>
      <c r="C29" s="15" t="inlineStr">
        <is>
          <t>Role-Based Training</t>
        </is>
      </c>
      <c r="D29" s="15" t="inlineStr">
        <is>
          <t>Ensure that personnel are trained to carry out their assigned information security -related duties and responsibilities.</t>
        </is>
      </c>
      <c r="E29" s="15" t="n">
        <v>76</v>
      </c>
      <c r="F29" s="15" t="n">
        <v>77</v>
      </c>
      <c r="G29" s="16" t="inlineStr">
        <is>
          <t>Yes</t>
        </is>
      </c>
      <c r="H29" s="17" t="inlineStr">
        <is>
          <t>FIVE_POINT</t>
        </is>
      </c>
      <c r="I29" s="16" t="inlineStr">
        <is>
          <t>NOT ASSESSED</t>
        </is>
      </c>
      <c r="J29" s="17" t="inlineStr"/>
      <c r="K29" s="17" t="inlineStr">
        <is>
          <t>No</t>
        </is>
      </c>
      <c r="L29" s="17" t="n">
        <v>5</v>
      </c>
      <c r="M29" s="17">
        <f>IF(AND(K29="Yes",I29="NOT MET",J29="PARTIALLY IMPLEMENTED"),"Yes","No")</f>
        <v/>
      </c>
      <c r="N29" s="17">
        <f>IF(OR(I29="MET",I29="NOT APPLICABLE",I29="NOT ASSESSED"),0,IF(AND(K29="Yes",J29="PARTIALLY IMPLEMENTED"),3,L29))</f>
        <v/>
      </c>
      <c r="O29" s="16" t="inlineStr">
        <is>
          <t>Not Started</t>
        </is>
      </c>
      <c r="P29" s="16" t="inlineStr"/>
      <c r="Q29" s="16" t="inlineStr"/>
      <c r="R29" s="16" t="inlineStr"/>
      <c r="S29" s="17">
        <f>IF(I29="NOT MET","Yes","No")</f>
        <v/>
      </c>
      <c r="T29" s="17" t="inlineStr"/>
      <c r="U29" s="17" t="inlineStr">
        <is>
          <t>32 CFR 170.24(c)(2) | Current eCFR</t>
        </is>
      </c>
      <c r="V29" s="17">
        <f>IF(I29="MET","Requirement assessed MET; no deduction.",IF(I29="NOT APPLICABLE","Requirement assessed NOT APPLICABLE; no deduction.",IF(I29="NOT ASSESSED","Requirement not assessed; score remains provisional.",IF(M29="Yes","Partial-credit condition applied; 3 points deducted.","Requirement assessed NOT MET; "&amp;L29&amp;" points deducted."))))</f>
        <v/>
      </c>
    </row>
    <row r="30">
      <c r="A30" s="15" t="inlineStr">
        <is>
          <t>AT</t>
        </is>
      </c>
      <c r="B30" s="15" t="inlineStr">
        <is>
          <t>AT.L2-3.2.3</t>
        </is>
      </c>
      <c r="C30" s="15" t="inlineStr">
        <is>
          <t>Insider Threat Awareness</t>
        </is>
      </c>
      <c r="D30" s="15" t="inlineStr">
        <is>
          <t>Provide security awareness training on recognizing and reporting potential indicators of insider threat.</t>
        </is>
      </c>
      <c r="E30" s="15" t="n">
        <v>78</v>
      </c>
      <c r="F30" s="15" t="n">
        <v>79</v>
      </c>
      <c r="G30" s="16" t="inlineStr">
        <is>
          <t>Yes</t>
        </is>
      </c>
      <c r="H30" s="17" t="inlineStr">
        <is>
          <t>ONE_POINT</t>
        </is>
      </c>
      <c r="I30" s="16" t="inlineStr">
        <is>
          <t>NOT ASSESSED</t>
        </is>
      </c>
      <c r="J30" s="17" t="inlineStr"/>
      <c r="K30" s="17" t="inlineStr">
        <is>
          <t>No</t>
        </is>
      </c>
      <c r="L30" s="17" t="n">
        <v>1</v>
      </c>
      <c r="M30" s="17">
        <f>IF(AND(K30="Yes",I30="NOT MET",J30="PARTIALLY IMPLEMENTED"),"Yes","No")</f>
        <v/>
      </c>
      <c r="N30" s="17">
        <f>IF(OR(I30="MET",I30="NOT APPLICABLE",I30="NOT ASSESSED"),0,IF(AND(K30="Yes",J30="PARTIALLY IMPLEMENTED"),3,L30))</f>
        <v/>
      </c>
      <c r="O30" s="16" t="inlineStr">
        <is>
          <t>Not Started</t>
        </is>
      </c>
      <c r="P30" s="16" t="inlineStr"/>
      <c r="Q30" s="16" t="inlineStr"/>
      <c r="R30" s="16" t="inlineStr"/>
      <c r="S30" s="17">
        <f>IF(I30="NOT MET","Yes","No")</f>
        <v/>
      </c>
      <c r="T30" s="17" t="inlineStr"/>
      <c r="U30" s="17" t="inlineStr">
        <is>
          <t>32 CFR 170.24(c)(2) | Current eCFR</t>
        </is>
      </c>
      <c r="V30" s="17">
        <f>IF(I30="MET","Requirement assessed MET; no deduction.",IF(I30="NOT APPLICABLE","Requirement assessed NOT APPLICABLE; no deduction.",IF(I30="NOT ASSESSED","Requirement not assessed; score remains provisional.",IF(M30="Yes","Partial-credit condition applied; 3 points deducted.","Requirement assessed NOT MET; "&amp;L30&amp;" points deducted."))))</f>
        <v/>
      </c>
    </row>
    <row r="31">
      <c r="A31" s="15" t="inlineStr">
        <is>
          <t>AU</t>
        </is>
      </c>
      <c r="B31" s="15" t="inlineStr">
        <is>
          <t>AU.L2-3.3.1</t>
        </is>
      </c>
      <c r="C31" s="15" t="inlineStr">
        <is>
          <t>System Auditing</t>
        </is>
      </c>
      <c r="D31" s="15" t="inlineStr">
        <is>
          <t>Create and retain system audit logs and records to the extent needed to enable the monitoring, analysis, investigation, and reporting of unlawful or unauthorized system activity.</t>
        </is>
      </c>
      <c r="E31" s="15" t="n">
        <v>80</v>
      </c>
      <c r="F31" s="15" t="n">
        <v>82</v>
      </c>
      <c r="G31" s="16" t="inlineStr">
        <is>
          <t>Yes</t>
        </is>
      </c>
      <c r="H31" s="17" t="inlineStr">
        <is>
          <t>FIVE_POINT</t>
        </is>
      </c>
      <c r="I31" s="16" t="inlineStr">
        <is>
          <t>NOT ASSESSED</t>
        </is>
      </c>
      <c r="J31" s="17" t="inlineStr"/>
      <c r="K31" s="17" t="inlineStr">
        <is>
          <t>No</t>
        </is>
      </c>
      <c r="L31" s="17" t="n">
        <v>5</v>
      </c>
      <c r="M31" s="17">
        <f>IF(AND(K31="Yes",I31="NOT MET",J31="PARTIALLY IMPLEMENTED"),"Yes","No")</f>
        <v/>
      </c>
      <c r="N31" s="17">
        <f>IF(OR(I31="MET",I31="NOT APPLICABLE",I31="NOT ASSESSED"),0,IF(AND(K31="Yes",J31="PARTIALLY IMPLEMENTED"),3,L31))</f>
        <v/>
      </c>
      <c r="O31" s="16" t="inlineStr">
        <is>
          <t>Not Started</t>
        </is>
      </c>
      <c r="P31" s="16" t="inlineStr"/>
      <c r="Q31" s="16" t="inlineStr"/>
      <c r="R31" s="16" t="inlineStr"/>
      <c r="S31" s="17">
        <f>IF(I31="NOT MET","Yes","No")</f>
        <v/>
      </c>
      <c r="T31" s="17" t="inlineStr"/>
      <c r="U31" s="17" t="inlineStr">
        <is>
          <t>32 CFR 170.24(c)(2) | Current eCFR</t>
        </is>
      </c>
      <c r="V31" s="17">
        <f>IF(I31="MET","Requirement assessed MET; no deduction.",IF(I31="NOT APPLICABLE","Requirement assessed NOT APPLICABLE; no deduction.",IF(I31="NOT ASSESSED","Requirement not assessed; score remains provisional.",IF(M31="Yes","Partial-credit condition applied; 3 points deducted.","Requirement assessed NOT MET; "&amp;L31&amp;" points deducted."))))</f>
        <v/>
      </c>
    </row>
    <row r="32">
      <c r="A32" s="15" t="inlineStr">
        <is>
          <t>AU</t>
        </is>
      </c>
      <c r="B32" s="15" t="inlineStr">
        <is>
          <t>AU.L2-3.3.2</t>
        </is>
      </c>
      <c r="C32" s="15" t="inlineStr">
        <is>
          <t>User Accountability</t>
        </is>
      </c>
      <c r="D32" s="15" t="inlineStr">
        <is>
          <t>Ensure that the actions of individual system users can be uniquely traced to those users so they can be held accountable for their actions.</t>
        </is>
      </c>
      <c r="E32" s="15" t="n">
        <v>83</v>
      </c>
      <c r="F32" s="15" t="n">
        <v>84</v>
      </c>
      <c r="G32" s="16" t="inlineStr">
        <is>
          <t>Yes</t>
        </is>
      </c>
      <c r="H32" s="17" t="inlineStr">
        <is>
          <t>THREE_POINT</t>
        </is>
      </c>
      <c r="I32" s="16" t="inlineStr">
        <is>
          <t>NOT ASSESSED</t>
        </is>
      </c>
      <c r="J32" s="17" t="inlineStr"/>
      <c r="K32" s="17" t="inlineStr">
        <is>
          <t>No</t>
        </is>
      </c>
      <c r="L32" s="17" t="n">
        <v>3</v>
      </c>
      <c r="M32" s="17">
        <f>IF(AND(K32="Yes",I32="NOT MET",J32="PARTIALLY IMPLEMENTED"),"Yes","No")</f>
        <v/>
      </c>
      <c r="N32" s="17">
        <f>IF(OR(I32="MET",I32="NOT APPLICABLE",I32="NOT ASSESSED"),0,IF(AND(K32="Yes",J32="PARTIALLY IMPLEMENTED"),3,L32))</f>
        <v/>
      </c>
      <c r="O32" s="16" t="inlineStr">
        <is>
          <t>Not Started</t>
        </is>
      </c>
      <c r="P32" s="16" t="inlineStr"/>
      <c r="Q32" s="16" t="inlineStr"/>
      <c r="R32" s="16" t="inlineStr"/>
      <c r="S32" s="17">
        <f>IF(I32="NOT MET","Yes","No")</f>
        <v/>
      </c>
      <c r="T32" s="17" t="inlineStr"/>
      <c r="U32" s="17" t="inlineStr">
        <is>
          <t>32 CFR 170.24(c)(2) | Current eCFR</t>
        </is>
      </c>
      <c r="V32" s="17">
        <f>IF(I32="MET","Requirement assessed MET; no deduction.",IF(I32="NOT APPLICABLE","Requirement assessed NOT APPLICABLE; no deduction.",IF(I32="NOT ASSESSED","Requirement not assessed; score remains provisional.",IF(M32="Yes","Partial-credit condition applied; 3 points deducted.","Requirement assessed NOT MET; "&amp;L32&amp;" points deducted."))))</f>
        <v/>
      </c>
    </row>
    <row r="33">
      <c r="A33" s="15" t="inlineStr">
        <is>
          <t>AU</t>
        </is>
      </c>
      <c r="B33" s="15" t="inlineStr">
        <is>
          <t>AU.L2-3.3.3</t>
        </is>
      </c>
      <c r="C33" s="15" t="inlineStr">
        <is>
          <t>Event Review</t>
        </is>
      </c>
      <c r="D33" s="15" t="inlineStr">
        <is>
          <t>Review and update logged events.</t>
        </is>
      </c>
      <c r="E33" s="15" t="n">
        <v>85</v>
      </c>
      <c r="F33" s="15" t="n">
        <v>86</v>
      </c>
      <c r="G33" s="16" t="inlineStr">
        <is>
          <t>Yes</t>
        </is>
      </c>
      <c r="H33" s="17" t="inlineStr">
        <is>
          <t>ONE_POINT</t>
        </is>
      </c>
      <c r="I33" s="16" t="inlineStr">
        <is>
          <t>NOT ASSESSED</t>
        </is>
      </c>
      <c r="J33" s="17" t="inlineStr"/>
      <c r="K33" s="17" t="inlineStr">
        <is>
          <t>No</t>
        </is>
      </c>
      <c r="L33" s="17" t="n">
        <v>1</v>
      </c>
      <c r="M33" s="17">
        <f>IF(AND(K33="Yes",I33="NOT MET",J33="PARTIALLY IMPLEMENTED"),"Yes","No")</f>
        <v/>
      </c>
      <c r="N33" s="17">
        <f>IF(OR(I33="MET",I33="NOT APPLICABLE",I33="NOT ASSESSED"),0,IF(AND(K33="Yes",J33="PARTIALLY IMPLEMENTED"),3,L33))</f>
        <v/>
      </c>
      <c r="O33" s="16" t="inlineStr">
        <is>
          <t>Not Started</t>
        </is>
      </c>
      <c r="P33" s="16" t="inlineStr"/>
      <c r="Q33" s="16" t="inlineStr"/>
      <c r="R33" s="16" t="inlineStr"/>
      <c r="S33" s="17">
        <f>IF(I33="NOT MET","Yes","No")</f>
        <v/>
      </c>
      <c r="T33" s="17" t="inlineStr"/>
      <c r="U33" s="17" t="inlineStr">
        <is>
          <t>32 CFR 170.24(c)(2) | Current eCFR</t>
        </is>
      </c>
      <c r="V33" s="17">
        <f>IF(I33="MET","Requirement assessed MET; no deduction.",IF(I33="NOT APPLICABLE","Requirement assessed NOT APPLICABLE; no deduction.",IF(I33="NOT ASSESSED","Requirement not assessed; score remains provisional.",IF(M33="Yes","Partial-credit condition applied; 3 points deducted.","Requirement assessed NOT MET; "&amp;L33&amp;" points deducted."))))</f>
        <v/>
      </c>
    </row>
    <row r="34">
      <c r="A34" s="15" t="inlineStr">
        <is>
          <t>AU</t>
        </is>
      </c>
      <c r="B34" s="15" t="inlineStr">
        <is>
          <t>AU.L2-3.3.4</t>
        </is>
      </c>
      <c r="C34" s="15" t="inlineStr">
        <is>
          <t>Audit Failure Alerting</t>
        </is>
      </c>
      <c r="D34" s="15" t="inlineStr">
        <is>
          <t>Alert in the event of an audit logging process failure.</t>
        </is>
      </c>
      <c r="E34" s="15" t="n">
        <v>87</v>
      </c>
      <c r="F34" s="15" t="n">
        <v>88</v>
      </c>
      <c r="G34" s="16" t="inlineStr">
        <is>
          <t>Yes</t>
        </is>
      </c>
      <c r="H34" s="17" t="inlineStr">
        <is>
          <t>ONE_POINT</t>
        </is>
      </c>
      <c r="I34" s="16" t="inlineStr">
        <is>
          <t>NOT ASSESSED</t>
        </is>
      </c>
      <c r="J34" s="17" t="inlineStr"/>
      <c r="K34" s="17" t="inlineStr">
        <is>
          <t>No</t>
        </is>
      </c>
      <c r="L34" s="17" t="n">
        <v>1</v>
      </c>
      <c r="M34" s="17">
        <f>IF(AND(K34="Yes",I34="NOT MET",J34="PARTIALLY IMPLEMENTED"),"Yes","No")</f>
        <v/>
      </c>
      <c r="N34" s="17">
        <f>IF(OR(I34="MET",I34="NOT APPLICABLE",I34="NOT ASSESSED"),0,IF(AND(K34="Yes",J34="PARTIALLY IMPLEMENTED"),3,L34))</f>
        <v/>
      </c>
      <c r="O34" s="16" t="inlineStr">
        <is>
          <t>Not Started</t>
        </is>
      </c>
      <c r="P34" s="16" t="inlineStr"/>
      <c r="Q34" s="16" t="inlineStr"/>
      <c r="R34" s="16" t="inlineStr"/>
      <c r="S34" s="17">
        <f>IF(I34="NOT MET","Yes","No")</f>
        <v/>
      </c>
      <c r="T34" s="17" t="inlineStr"/>
      <c r="U34" s="17" t="inlineStr">
        <is>
          <t>32 CFR 170.24(c)(2) | Current eCFR</t>
        </is>
      </c>
      <c r="V34" s="17">
        <f>IF(I34="MET","Requirement assessed MET; no deduction.",IF(I34="NOT APPLICABLE","Requirement assessed NOT APPLICABLE; no deduction.",IF(I34="NOT ASSESSED","Requirement not assessed; score remains provisional.",IF(M34="Yes","Partial-credit condition applied; 3 points deducted.","Requirement assessed NOT MET; "&amp;L34&amp;" points deducted."))))</f>
        <v/>
      </c>
    </row>
    <row r="35">
      <c r="A35" s="15" t="inlineStr">
        <is>
          <t>AU</t>
        </is>
      </c>
      <c r="B35" s="15" t="inlineStr">
        <is>
          <t>AU.L2-3.3.5</t>
        </is>
      </c>
      <c r="C35" s="15" t="inlineStr">
        <is>
          <t>Audit Correlation</t>
        </is>
      </c>
      <c r="D35" s="15" t="inlineStr">
        <is>
          <t>Correlate audit record review, analysis, and reporting processes for investigation and response to indications of unlawful, unauthorized, suspicious, or unusual activity.</t>
        </is>
      </c>
      <c r="E35" s="15" t="n">
        <v>89</v>
      </c>
      <c r="F35" s="15" t="n">
        <v>90</v>
      </c>
      <c r="G35" s="16" t="inlineStr">
        <is>
          <t>Yes</t>
        </is>
      </c>
      <c r="H35" s="17" t="inlineStr">
        <is>
          <t>FIVE_POINT</t>
        </is>
      </c>
      <c r="I35" s="16" t="inlineStr">
        <is>
          <t>NOT ASSESSED</t>
        </is>
      </c>
      <c r="J35" s="17" t="inlineStr"/>
      <c r="K35" s="17" t="inlineStr">
        <is>
          <t>No</t>
        </is>
      </c>
      <c r="L35" s="17" t="n">
        <v>5</v>
      </c>
      <c r="M35" s="17">
        <f>IF(AND(K35="Yes",I35="NOT MET",J35="PARTIALLY IMPLEMENTED"),"Yes","No")</f>
        <v/>
      </c>
      <c r="N35" s="17">
        <f>IF(OR(I35="MET",I35="NOT APPLICABLE",I35="NOT ASSESSED"),0,IF(AND(K35="Yes",J35="PARTIALLY IMPLEMENTED"),3,L35))</f>
        <v/>
      </c>
      <c r="O35" s="16" t="inlineStr">
        <is>
          <t>Not Started</t>
        </is>
      </c>
      <c r="P35" s="16" t="inlineStr"/>
      <c r="Q35" s="16" t="inlineStr"/>
      <c r="R35" s="16" t="inlineStr"/>
      <c r="S35" s="17">
        <f>IF(I35="NOT MET","Yes","No")</f>
        <v/>
      </c>
      <c r="T35" s="17" t="inlineStr"/>
      <c r="U35" s="17" t="inlineStr">
        <is>
          <t>32 CFR 170.24(c)(2) | Current eCFR</t>
        </is>
      </c>
      <c r="V35" s="17">
        <f>IF(I35="MET","Requirement assessed MET; no deduction.",IF(I35="NOT APPLICABLE","Requirement assessed NOT APPLICABLE; no deduction.",IF(I35="NOT ASSESSED","Requirement not assessed; score remains provisional.",IF(M35="Yes","Partial-credit condition applied; 3 points deducted.","Requirement assessed NOT MET; "&amp;L35&amp;" points deducted."))))</f>
        <v/>
      </c>
    </row>
    <row r="36">
      <c r="A36" s="15" t="inlineStr">
        <is>
          <t>AU</t>
        </is>
      </c>
      <c r="B36" s="15" t="inlineStr">
        <is>
          <t>AU.L2-3.3.6</t>
        </is>
      </c>
      <c r="C36" s="15" t="inlineStr">
        <is>
          <t>Reduction &amp; Reporting</t>
        </is>
      </c>
      <c r="D36" s="15" t="inlineStr">
        <is>
          <t>Provide audit record reduction and report generation to support on- demand analysis and reporting.</t>
        </is>
      </c>
      <c r="E36" s="15" t="n">
        <v>91</v>
      </c>
      <c r="F36" s="15" t="n">
        <v>92</v>
      </c>
      <c r="G36" s="16" t="inlineStr">
        <is>
          <t>Yes</t>
        </is>
      </c>
      <c r="H36" s="17" t="inlineStr">
        <is>
          <t>ONE_POINT</t>
        </is>
      </c>
      <c r="I36" s="16" t="inlineStr">
        <is>
          <t>NOT ASSESSED</t>
        </is>
      </c>
      <c r="J36" s="17" t="inlineStr"/>
      <c r="K36" s="17" t="inlineStr">
        <is>
          <t>No</t>
        </is>
      </c>
      <c r="L36" s="17" t="n">
        <v>1</v>
      </c>
      <c r="M36" s="17">
        <f>IF(AND(K36="Yes",I36="NOT MET",J36="PARTIALLY IMPLEMENTED"),"Yes","No")</f>
        <v/>
      </c>
      <c r="N36" s="17">
        <f>IF(OR(I36="MET",I36="NOT APPLICABLE",I36="NOT ASSESSED"),0,IF(AND(K36="Yes",J36="PARTIALLY IMPLEMENTED"),3,L36))</f>
        <v/>
      </c>
      <c r="O36" s="16" t="inlineStr">
        <is>
          <t>Not Started</t>
        </is>
      </c>
      <c r="P36" s="16" t="inlineStr"/>
      <c r="Q36" s="16" t="inlineStr"/>
      <c r="R36" s="16" t="inlineStr"/>
      <c r="S36" s="17">
        <f>IF(I36="NOT MET","Yes","No")</f>
        <v/>
      </c>
      <c r="T36" s="17" t="inlineStr"/>
      <c r="U36" s="17" t="inlineStr">
        <is>
          <t>32 CFR 170.24(c)(2) | Current eCFR</t>
        </is>
      </c>
      <c r="V36" s="17">
        <f>IF(I36="MET","Requirement assessed MET; no deduction.",IF(I36="NOT APPLICABLE","Requirement assessed NOT APPLICABLE; no deduction.",IF(I36="NOT ASSESSED","Requirement not assessed; score remains provisional.",IF(M36="Yes","Partial-credit condition applied; 3 points deducted.","Requirement assessed NOT MET; "&amp;L36&amp;" points deducted."))))</f>
        <v/>
      </c>
    </row>
    <row r="37">
      <c r="A37" s="15" t="inlineStr">
        <is>
          <t>AU</t>
        </is>
      </c>
      <c r="B37" s="15" t="inlineStr">
        <is>
          <t>AU.L2-3.3.7</t>
        </is>
      </c>
      <c r="C37" s="15" t="inlineStr">
        <is>
          <t>Authoritative Time Source</t>
        </is>
      </c>
      <c r="D37" s="15" t="inlineStr">
        <is>
          <t>Provide a system capability that compares and synchronizes internal system clocks with an authoritative source to generate time stamps for audit records.</t>
        </is>
      </c>
      <c r="E37" s="15" t="n">
        <v>93</v>
      </c>
      <c r="F37" s="15" t="n">
        <v>94</v>
      </c>
      <c r="G37" s="16" t="inlineStr">
        <is>
          <t>Yes</t>
        </is>
      </c>
      <c r="H37" s="17" t="inlineStr">
        <is>
          <t>ONE_POINT</t>
        </is>
      </c>
      <c r="I37" s="16" t="inlineStr">
        <is>
          <t>NOT ASSESSED</t>
        </is>
      </c>
      <c r="J37" s="17" t="inlineStr"/>
      <c r="K37" s="17" t="inlineStr">
        <is>
          <t>No</t>
        </is>
      </c>
      <c r="L37" s="17" t="n">
        <v>1</v>
      </c>
      <c r="M37" s="17">
        <f>IF(AND(K37="Yes",I37="NOT MET",J37="PARTIALLY IMPLEMENTED"),"Yes","No")</f>
        <v/>
      </c>
      <c r="N37" s="17">
        <f>IF(OR(I37="MET",I37="NOT APPLICABLE",I37="NOT ASSESSED"),0,IF(AND(K37="Yes",J37="PARTIALLY IMPLEMENTED"),3,L37))</f>
        <v/>
      </c>
      <c r="O37" s="16" t="inlineStr">
        <is>
          <t>Not Started</t>
        </is>
      </c>
      <c r="P37" s="16" t="inlineStr"/>
      <c r="Q37" s="16" t="inlineStr"/>
      <c r="R37" s="16" t="inlineStr"/>
      <c r="S37" s="17">
        <f>IF(I37="NOT MET","Yes","No")</f>
        <v/>
      </c>
      <c r="T37" s="17" t="inlineStr"/>
      <c r="U37" s="17" t="inlineStr">
        <is>
          <t>32 CFR 170.24(c)(2) | Current eCFR</t>
        </is>
      </c>
      <c r="V37" s="17">
        <f>IF(I37="MET","Requirement assessed MET; no deduction.",IF(I37="NOT APPLICABLE","Requirement assessed NOT APPLICABLE; no deduction.",IF(I37="NOT ASSESSED","Requirement not assessed; score remains provisional.",IF(M37="Yes","Partial-credit condition applied; 3 points deducted.","Requirement assessed NOT MET; "&amp;L37&amp;" points deducted."))))</f>
        <v/>
      </c>
    </row>
    <row r="38">
      <c r="A38" s="15" t="inlineStr">
        <is>
          <t>AU</t>
        </is>
      </c>
      <c r="B38" s="15" t="inlineStr">
        <is>
          <t>AU.L2-3.3.8</t>
        </is>
      </c>
      <c r="C38" s="15" t="inlineStr">
        <is>
          <t>Audit Protection</t>
        </is>
      </c>
      <c r="D38" s="15" t="inlineStr">
        <is>
          <t>Protect audit information and audit logging tools from unauthorized access, modification, and deletion.</t>
        </is>
      </c>
      <c r="E38" s="15" t="n">
        <v>95</v>
      </c>
      <c r="F38" s="15" t="n">
        <v>96</v>
      </c>
      <c r="G38" s="16" t="inlineStr">
        <is>
          <t>Yes</t>
        </is>
      </c>
      <c r="H38" s="17" t="inlineStr">
        <is>
          <t>ONE_POINT</t>
        </is>
      </c>
      <c r="I38" s="16" t="inlineStr">
        <is>
          <t>NOT ASSESSED</t>
        </is>
      </c>
      <c r="J38" s="17" t="inlineStr"/>
      <c r="K38" s="17" t="inlineStr">
        <is>
          <t>No</t>
        </is>
      </c>
      <c r="L38" s="17" t="n">
        <v>1</v>
      </c>
      <c r="M38" s="17">
        <f>IF(AND(K38="Yes",I38="NOT MET",J38="PARTIALLY IMPLEMENTED"),"Yes","No")</f>
        <v/>
      </c>
      <c r="N38" s="17">
        <f>IF(OR(I38="MET",I38="NOT APPLICABLE",I38="NOT ASSESSED"),0,IF(AND(K38="Yes",J38="PARTIALLY IMPLEMENTED"),3,L38))</f>
        <v/>
      </c>
      <c r="O38" s="16" t="inlineStr">
        <is>
          <t>Not Started</t>
        </is>
      </c>
      <c r="P38" s="16" t="inlineStr"/>
      <c r="Q38" s="16" t="inlineStr"/>
      <c r="R38" s="16" t="inlineStr"/>
      <c r="S38" s="17">
        <f>IF(I38="NOT MET","Yes","No")</f>
        <v/>
      </c>
      <c r="T38" s="17" t="inlineStr"/>
      <c r="U38" s="17" t="inlineStr">
        <is>
          <t>32 CFR 170.24(c)(2) | Current eCFR</t>
        </is>
      </c>
      <c r="V38" s="17">
        <f>IF(I38="MET","Requirement assessed MET; no deduction.",IF(I38="NOT APPLICABLE","Requirement assessed NOT APPLICABLE; no deduction.",IF(I38="NOT ASSESSED","Requirement not assessed; score remains provisional.",IF(M38="Yes","Partial-credit condition applied; 3 points deducted.","Requirement assessed NOT MET; "&amp;L38&amp;" points deducted."))))</f>
        <v/>
      </c>
    </row>
    <row r="39">
      <c r="A39" s="15" t="inlineStr">
        <is>
          <t>AU</t>
        </is>
      </c>
      <c r="B39" s="15" t="inlineStr">
        <is>
          <t>AU.L2-3.3.9</t>
        </is>
      </c>
      <c r="C39" s="15" t="inlineStr">
        <is>
          <t>Audit Management</t>
        </is>
      </c>
      <c r="D39" s="15" t="inlineStr">
        <is>
          <t>Limit management of audit logging functionality to a subset of privileged users.</t>
        </is>
      </c>
      <c r="E39" s="15" t="n">
        <v>97</v>
      </c>
      <c r="F39" s="15" t="n">
        <v>98</v>
      </c>
      <c r="G39" s="16" t="inlineStr">
        <is>
          <t>Yes</t>
        </is>
      </c>
      <c r="H39" s="17" t="inlineStr">
        <is>
          <t>ONE_POINT</t>
        </is>
      </c>
      <c r="I39" s="16" t="inlineStr">
        <is>
          <t>NOT ASSESSED</t>
        </is>
      </c>
      <c r="J39" s="17" t="inlineStr"/>
      <c r="K39" s="17" t="inlineStr">
        <is>
          <t>No</t>
        </is>
      </c>
      <c r="L39" s="17" t="n">
        <v>1</v>
      </c>
      <c r="M39" s="17">
        <f>IF(AND(K39="Yes",I39="NOT MET",J39="PARTIALLY IMPLEMENTED"),"Yes","No")</f>
        <v/>
      </c>
      <c r="N39" s="17">
        <f>IF(OR(I39="MET",I39="NOT APPLICABLE",I39="NOT ASSESSED"),0,IF(AND(K39="Yes",J39="PARTIALLY IMPLEMENTED"),3,L39))</f>
        <v/>
      </c>
      <c r="O39" s="16" t="inlineStr">
        <is>
          <t>Not Started</t>
        </is>
      </c>
      <c r="P39" s="16" t="inlineStr"/>
      <c r="Q39" s="16" t="inlineStr"/>
      <c r="R39" s="16" t="inlineStr"/>
      <c r="S39" s="17">
        <f>IF(I39="NOT MET","Yes","No")</f>
        <v/>
      </c>
      <c r="T39" s="17" t="inlineStr"/>
      <c r="U39" s="17" t="inlineStr">
        <is>
          <t>32 CFR 170.24(c)(2) | Current eCFR</t>
        </is>
      </c>
      <c r="V39" s="17">
        <f>IF(I39="MET","Requirement assessed MET; no deduction.",IF(I39="NOT APPLICABLE","Requirement assessed NOT APPLICABLE; no deduction.",IF(I39="NOT ASSESSED","Requirement not assessed; score remains provisional.",IF(M39="Yes","Partial-credit condition applied; 3 points deducted.","Requirement assessed NOT MET; "&amp;L39&amp;" points deducted."))))</f>
        <v/>
      </c>
    </row>
    <row r="40">
      <c r="A40" s="15" t="inlineStr">
        <is>
          <t>CM</t>
        </is>
      </c>
      <c r="B40" s="15" t="inlineStr">
        <is>
          <t>CM.L2-3.4.1</t>
        </is>
      </c>
      <c r="C40" s="15" t="inlineStr">
        <is>
          <t>System Baselining</t>
        </is>
      </c>
      <c r="D40" s="15" t="inlineStr">
        <is>
          <t>Establish and maintain baseline configurations and inventories of organizational systems (including hardware, software, firmware, and documentation) throughout the respective system development life cycles.</t>
        </is>
      </c>
      <c r="E40" s="15" t="n">
        <v>99</v>
      </c>
      <c r="F40" s="15" t="n">
        <v>101</v>
      </c>
      <c r="G40" s="16" t="inlineStr">
        <is>
          <t>Yes</t>
        </is>
      </c>
      <c r="H40" s="17" t="inlineStr">
        <is>
          <t>FIVE_POINT</t>
        </is>
      </c>
      <c r="I40" s="16" t="inlineStr">
        <is>
          <t>NOT ASSESSED</t>
        </is>
      </c>
      <c r="J40" s="17" t="inlineStr"/>
      <c r="K40" s="17" t="inlineStr">
        <is>
          <t>No</t>
        </is>
      </c>
      <c r="L40" s="17" t="n">
        <v>5</v>
      </c>
      <c r="M40" s="17">
        <f>IF(AND(K40="Yes",I40="NOT MET",J40="PARTIALLY IMPLEMENTED"),"Yes","No")</f>
        <v/>
      </c>
      <c r="N40" s="17">
        <f>IF(OR(I40="MET",I40="NOT APPLICABLE",I40="NOT ASSESSED"),0,IF(AND(K40="Yes",J40="PARTIALLY IMPLEMENTED"),3,L40))</f>
        <v/>
      </c>
      <c r="O40" s="16" t="inlineStr">
        <is>
          <t>Not Started</t>
        </is>
      </c>
      <c r="P40" s="16" t="inlineStr"/>
      <c r="Q40" s="16" t="inlineStr"/>
      <c r="R40" s="16" t="inlineStr"/>
      <c r="S40" s="17">
        <f>IF(I40="NOT MET","Yes","No")</f>
        <v/>
      </c>
      <c r="T40" s="17" t="inlineStr"/>
      <c r="U40" s="17" t="inlineStr">
        <is>
          <t>32 CFR 170.24(c)(2) | Current eCFR</t>
        </is>
      </c>
      <c r="V40" s="17">
        <f>IF(I40="MET","Requirement assessed MET; no deduction.",IF(I40="NOT APPLICABLE","Requirement assessed NOT APPLICABLE; no deduction.",IF(I40="NOT ASSESSED","Requirement not assessed; score remains provisional.",IF(M40="Yes","Partial-credit condition applied; 3 points deducted.","Requirement assessed NOT MET; "&amp;L40&amp;" points deducted."))))</f>
        <v/>
      </c>
    </row>
    <row r="41">
      <c r="A41" s="15" t="inlineStr">
        <is>
          <t>CM</t>
        </is>
      </c>
      <c r="B41" s="15" t="inlineStr">
        <is>
          <t>CM.L2-3.4.2</t>
        </is>
      </c>
      <c r="C41" s="15" t="inlineStr">
        <is>
          <t>Security Configuration Enforcement</t>
        </is>
      </c>
      <c r="D41" s="15" t="inlineStr">
        <is>
          <t>Establish and enforce security configuration settings for information technology products employed in organizational systems.</t>
        </is>
      </c>
      <c r="E41" s="15" t="n">
        <v>102</v>
      </c>
      <c r="F41" s="15" t="n">
        <v>103</v>
      </c>
      <c r="G41" s="16" t="inlineStr">
        <is>
          <t>Yes</t>
        </is>
      </c>
      <c r="H41" s="17" t="inlineStr">
        <is>
          <t>FIVE_POINT</t>
        </is>
      </c>
      <c r="I41" s="16" t="inlineStr">
        <is>
          <t>NOT ASSESSED</t>
        </is>
      </c>
      <c r="J41" s="17" t="inlineStr"/>
      <c r="K41" s="17" t="inlineStr">
        <is>
          <t>No</t>
        </is>
      </c>
      <c r="L41" s="17" t="n">
        <v>5</v>
      </c>
      <c r="M41" s="17">
        <f>IF(AND(K41="Yes",I41="NOT MET",J41="PARTIALLY IMPLEMENTED"),"Yes","No")</f>
        <v/>
      </c>
      <c r="N41" s="17">
        <f>IF(OR(I41="MET",I41="NOT APPLICABLE",I41="NOT ASSESSED"),0,IF(AND(K41="Yes",J41="PARTIALLY IMPLEMENTED"),3,L41))</f>
        <v/>
      </c>
      <c r="O41" s="16" t="inlineStr">
        <is>
          <t>Not Started</t>
        </is>
      </c>
      <c r="P41" s="16" t="inlineStr"/>
      <c r="Q41" s="16" t="inlineStr"/>
      <c r="R41" s="16" t="inlineStr"/>
      <c r="S41" s="17">
        <f>IF(I41="NOT MET","Yes","No")</f>
        <v/>
      </c>
      <c r="T41" s="17" t="inlineStr"/>
      <c r="U41" s="17" t="inlineStr">
        <is>
          <t>32 CFR 170.24(c)(2) | Current eCFR</t>
        </is>
      </c>
      <c r="V41" s="17">
        <f>IF(I41="MET","Requirement assessed MET; no deduction.",IF(I41="NOT APPLICABLE","Requirement assessed NOT APPLICABLE; no deduction.",IF(I41="NOT ASSESSED","Requirement not assessed; score remains provisional.",IF(M41="Yes","Partial-credit condition applied; 3 points deducted.","Requirement assessed NOT MET; "&amp;L41&amp;" points deducted."))))</f>
        <v/>
      </c>
    </row>
    <row r="42">
      <c r="A42" s="15" t="inlineStr">
        <is>
          <t>CM</t>
        </is>
      </c>
      <c r="B42" s="15" t="inlineStr">
        <is>
          <t>CM.L2-3.4.3</t>
        </is>
      </c>
      <c r="C42" s="15" t="inlineStr">
        <is>
          <t>System Change Management</t>
        </is>
      </c>
      <c r="D42" s="15" t="inlineStr">
        <is>
          <t>Track, review, approve or disapprove, and log changes to organizational systems.</t>
        </is>
      </c>
      <c r="E42" s="15" t="n">
        <v>104</v>
      </c>
      <c r="F42" s="15" t="n">
        <v>105</v>
      </c>
      <c r="G42" s="16" t="inlineStr">
        <is>
          <t>Yes</t>
        </is>
      </c>
      <c r="H42" s="17" t="inlineStr">
        <is>
          <t>ONE_POINT</t>
        </is>
      </c>
      <c r="I42" s="16" t="inlineStr">
        <is>
          <t>NOT ASSESSED</t>
        </is>
      </c>
      <c r="J42" s="17" t="inlineStr"/>
      <c r="K42" s="17" t="inlineStr">
        <is>
          <t>No</t>
        </is>
      </c>
      <c r="L42" s="17" t="n">
        <v>1</v>
      </c>
      <c r="M42" s="17">
        <f>IF(AND(K42="Yes",I42="NOT MET",J42="PARTIALLY IMPLEMENTED"),"Yes","No")</f>
        <v/>
      </c>
      <c r="N42" s="17">
        <f>IF(OR(I42="MET",I42="NOT APPLICABLE",I42="NOT ASSESSED"),0,IF(AND(K42="Yes",J42="PARTIALLY IMPLEMENTED"),3,L42))</f>
        <v/>
      </c>
      <c r="O42" s="16" t="inlineStr">
        <is>
          <t>Not Started</t>
        </is>
      </c>
      <c r="P42" s="16" t="inlineStr"/>
      <c r="Q42" s="16" t="inlineStr"/>
      <c r="R42" s="16" t="inlineStr"/>
      <c r="S42" s="17">
        <f>IF(I42="NOT MET","Yes","No")</f>
        <v/>
      </c>
      <c r="T42" s="17" t="inlineStr"/>
      <c r="U42" s="17" t="inlineStr">
        <is>
          <t>32 CFR 170.24(c)(2) | Current eCFR</t>
        </is>
      </c>
      <c r="V42" s="17">
        <f>IF(I42="MET","Requirement assessed MET; no deduction.",IF(I42="NOT APPLICABLE","Requirement assessed NOT APPLICABLE; no deduction.",IF(I42="NOT ASSESSED","Requirement not assessed; score remains provisional.",IF(M42="Yes","Partial-credit condition applied; 3 points deducted.","Requirement assessed NOT MET; "&amp;L42&amp;" points deducted."))))</f>
        <v/>
      </c>
    </row>
    <row r="43">
      <c r="A43" s="15" t="inlineStr">
        <is>
          <t>CM</t>
        </is>
      </c>
      <c r="B43" s="15" t="inlineStr">
        <is>
          <t>CM.L2-3.4.4</t>
        </is>
      </c>
      <c r="C43" s="15" t="inlineStr">
        <is>
          <t>Security Impact Analysis</t>
        </is>
      </c>
      <c r="D43" s="15" t="inlineStr">
        <is>
          <t>Analyze the security impact of changes prior to implementation.</t>
        </is>
      </c>
      <c r="E43" s="15" t="n">
        <v>106</v>
      </c>
      <c r="F43" s="15" t="n">
        <v>107</v>
      </c>
      <c r="G43" s="16" t="inlineStr">
        <is>
          <t>Yes</t>
        </is>
      </c>
      <c r="H43" s="17" t="inlineStr">
        <is>
          <t>ONE_POINT</t>
        </is>
      </c>
      <c r="I43" s="16" t="inlineStr">
        <is>
          <t>NOT ASSESSED</t>
        </is>
      </c>
      <c r="J43" s="17" t="inlineStr"/>
      <c r="K43" s="17" t="inlineStr">
        <is>
          <t>No</t>
        </is>
      </c>
      <c r="L43" s="17" t="n">
        <v>1</v>
      </c>
      <c r="M43" s="17">
        <f>IF(AND(K43="Yes",I43="NOT MET",J43="PARTIALLY IMPLEMENTED"),"Yes","No")</f>
        <v/>
      </c>
      <c r="N43" s="17">
        <f>IF(OR(I43="MET",I43="NOT APPLICABLE",I43="NOT ASSESSED"),0,IF(AND(K43="Yes",J43="PARTIALLY IMPLEMENTED"),3,L43))</f>
        <v/>
      </c>
      <c r="O43" s="16" t="inlineStr">
        <is>
          <t>Not Started</t>
        </is>
      </c>
      <c r="P43" s="16" t="inlineStr"/>
      <c r="Q43" s="16" t="inlineStr"/>
      <c r="R43" s="16" t="inlineStr"/>
      <c r="S43" s="17">
        <f>IF(I43="NOT MET","Yes","No")</f>
        <v/>
      </c>
      <c r="T43" s="17" t="inlineStr"/>
      <c r="U43" s="17" t="inlineStr">
        <is>
          <t>32 CFR 170.24(c)(2) | Current eCFR</t>
        </is>
      </c>
      <c r="V43" s="17">
        <f>IF(I43="MET","Requirement assessed MET; no deduction.",IF(I43="NOT APPLICABLE","Requirement assessed NOT APPLICABLE; no deduction.",IF(I43="NOT ASSESSED","Requirement not assessed; score remains provisional.",IF(M43="Yes","Partial-credit condition applied; 3 points deducted.","Requirement assessed NOT MET; "&amp;L43&amp;" points deducted."))))</f>
        <v/>
      </c>
    </row>
    <row r="44">
      <c r="A44" s="15" t="inlineStr">
        <is>
          <t>CM</t>
        </is>
      </c>
      <c r="B44" s="15" t="inlineStr">
        <is>
          <t>CM.L2-3.4.5</t>
        </is>
      </c>
      <c r="C44" s="15" t="inlineStr">
        <is>
          <t>Access Restrictions for Change</t>
        </is>
      </c>
      <c r="D44" s="15" t="inlineStr">
        <is>
          <t>Define, document, approve, and enforce physical and logical access restrictions associated with changes to organizational systems.</t>
        </is>
      </c>
      <c r="E44" s="15" t="n">
        <v>108</v>
      </c>
      <c r="F44" s="15" t="n">
        <v>110</v>
      </c>
      <c r="G44" s="16" t="inlineStr">
        <is>
          <t>Yes</t>
        </is>
      </c>
      <c r="H44" s="17" t="inlineStr">
        <is>
          <t>FIVE_POINT</t>
        </is>
      </c>
      <c r="I44" s="16" t="inlineStr">
        <is>
          <t>NOT ASSESSED</t>
        </is>
      </c>
      <c r="J44" s="17" t="inlineStr"/>
      <c r="K44" s="17" t="inlineStr">
        <is>
          <t>No</t>
        </is>
      </c>
      <c r="L44" s="17" t="n">
        <v>5</v>
      </c>
      <c r="M44" s="17">
        <f>IF(AND(K44="Yes",I44="NOT MET",J44="PARTIALLY IMPLEMENTED"),"Yes","No")</f>
        <v/>
      </c>
      <c r="N44" s="17">
        <f>IF(OR(I44="MET",I44="NOT APPLICABLE",I44="NOT ASSESSED"),0,IF(AND(K44="Yes",J44="PARTIALLY IMPLEMENTED"),3,L44))</f>
        <v/>
      </c>
      <c r="O44" s="16" t="inlineStr">
        <is>
          <t>Not Started</t>
        </is>
      </c>
      <c r="P44" s="16" t="inlineStr"/>
      <c r="Q44" s="16" t="inlineStr"/>
      <c r="R44" s="16" t="inlineStr"/>
      <c r="S44" s="17">
        <f>IF(I44="NOT MET","Yes","No")</f>
        <v/>
      </c>
      <c r="T44" s="17" t="inlineStr"/>
      <c r="U44" s="17" t="inlineStr">
        <is>
          <t>32 CFR 170.24(c)(2) | Current eCFR</t>
        </is>
      </c>
      <c r="V44" s="17">
        <f>IF(I44="MET","Requirement assessed MET; no deduction.",IF(I44="NOT APPLICABLE","Requirement assessed NOT APPLICABLE; no deduction.",IF(I44="NOT ASSESSED","Requirement not assessed; score remains provisional.",IF(M44="Yes","Partial-credit condition applied; 3 points deducted.","Requirement assessed NOT MET; "&amp;L44&amp;" points deducted."))))</f>
        <v/>
      </c>
    </row>
    <row r="45">
      <c r="A45" s="15" t="inlineStr">
        <is>
          <t>CM</t>
        </is>
      </c>
      <c r="B45" s="15" t="inlineStr">
        <is>
          <t>CM.L2-3.4.6</t>
        </is>
      </c>
      <c r="C45" s="15" t="inlineStr">
        <is>
          <t>Least Functionality</t>
        </is>
      </c>
      <c r="D45" s="15" t="inlineStr">
        <is>
          <t>Employ the principle of least functionality by configuring organizational systems to provide only essential capabilities.</t>
        </is>
      </c>
      <c r="E45" s="15" t="n">
        <v>111</v>
      </c>
      <c r="F45" s="15" t="n">
        <v>112</v>
      </c>
      <c r="G45" s="16" t="inlineStr">
        <is>
          <t>Yes</t>
        </is>
      </c>
      <c r="H45" s="17" t="inlineStr">
        <is>
          <t>FIVE_POINT</t>
        </is>
      </c>
      <c r="I45" s="16" t="inlineStr">
        <is>
          <t>NOT ASSESSED</t>
        </is>
      </c>
      <c r="J45" s="17" t="inlineStr"/>
      <c r="K45" s="17" t="inlineStr">
        <is>
          <t>No</t>
        </is>
      </c>
      <c r="L45" s="17" t="n">
        <v>5</v>
      </c>
      <c r="M45" s="17">
        <f>IF(AND(K45="Yes",I45="NOT MET",J45="PARTIALLY IMPLEMENTED"),"Yes","No")</f>
        <v/>
      </c>
      <c r="N45" s="17">
        <f>IF(OR(I45="MET",I45="NOT APPLICABLE",I45="NOT ASSESSED"),0,IF(AND(K45="Yes",J45="PARTIALLY IMPLEMENTED"),3,L45))</f>
        <v/>
      </c>
      <c r="O45" s="16" t="inlineStr">
        <is>
          <t>Not Started</t>
        </is>
      </c>
      <c r="P45" s="16" t="inlineStr"/>
      <c r="Q45" s="16" t="inlineStr"/>
      <c r="R45" s="16" t="inlineStr"/>
      <c r="S45" s="17">
        <f>IF(I45="NOT MET","Yes","No")</f>
        <v/>
      </c>
      <c r="T45" s="17" t="inlineStr"/>
      <c r="U45" s="17" t="inlineStr">
        <is>
          <t>32 CFR 170.24(c)(2) | Current eCFR</t>
        </is>
      </c>
      <c r="V45" s="17">
        <f>IF(I45="MET","Requirement assessed MET; no deduction.",IF(I45="NOT APPLICABLE","Requirement assessed NOT APPLICABLE; no deduction.",IF(I45="NOT ASSESSED","Requirement not assessed; score remains provisional.",IF(M45="Yes","Partial-credit condition applied; 3 points deducted.","Requirement assessed NOT MET; "&amp;L45&amp;" points deducted."))))</f>
        <v/>
      </c>
    </row>
    <row r="46">
      <c r="A46" s="15" t="inlineStr">
        <is>
          <t>CM</t>
        </is>
      </c>
      <c r="B46" s="15" t="inlineStr">
        <is>
          <t>CM.L2-3.4.7</t>
        </is>
      </c>
      <c r="C46" s="15" t="inlineStr">
        <is>
          <t>Nonessential Functionality</t>
        </is>
      </c>
      <c r="D46" s="15" t="inlineStr">
        <is>
          <t>Restrict, disable, or prevent the use of nonessential programs, functions, ports, protocols, and services.</t>
        </is>
      </c>
      <c r="E46" s="15" t="n">
        <v>113</v>
      </c>
      <c r="F46" s="15" t="n">
        <v>115</v>
      </c>
      <c r="G46" s="16" t="inlineStr">
        <is>
          <t>Yes</t>
        </is>
      </c>
      <c r="H46" s="17" t="inlineStr">
        <is>
          <t>FIVE_POINT</t>
        </is>
      </c>
      <c r="I46" s="16" t="inlineStr">
        <is>
          <t>NOT ASSESSED</t>
        </is>
      </c>
      <c r="J46" s="17" t="inlineStr"/>
      <c r="K46" s="17" t="inlineStr">
        <is>
          <t>No</t>
        </is>
      </c>
      <c r="L46" s="17" t="n">
        <v>5</v>
      </c>
      <c r="M46" s="17">
        <f>IF(AND(K46="Yes",I46="NOT MET",J46="PARTIALLY IMPLEMENTED"),"Yes","No")</f>
        <v/>
      </c>
      <c r="N46" s="17">
        <f>IF(OR(I46="MET",I46="NOT APPLICABLE",I46="NOT ASSESSED"),0,IF(AND(K46="Yes",J46="PARTIALLY IMPLEMENTED"),3,L46))</f>
        <v/>
      </c>
      <c r="O46" s="16" t="inlineStr">
        <is>
          <t>Not Started</t>
        </is>
      </c>
      <c r="P46" s="16" t="inlineStr"/>
      <c r="Q46" s="16" t="inlineStr"/>
      <c r="R46" s="16" t="inlineStr"/>
      <c r="S46" s="17">
        <f>IF(I46="NOT MET","Yes","No")</f>
        <v/>
      </c>
      <c r="T46" s="17" t="inlineStr"/>
      <c r="U46" s="17" t="inlineStr">
        <is>
          <t>32 CFR 170.24(c)(2) | Current eCFR</t>
        </is>
      </c>
      <c r="V46" s="17">
        <f>IF(I46="MET","Requirement assessed MET; no deduction.",IF(I46="NOT APPLICABLE","Requirement assessed NOT APPLICABLE; no deduction.",IF(I46="NOT ASSESSED","Requirement not assessed; score remains provisional.",IF(M46="Yes","Partial-credit condition applied; 3 points deducted.","Requirement assessed NOT MET; "&amp;L46&amp;" points deducted."))))</f>
        <v/>
      </c>
    </row>
    <row r="47">
      <c r="A47" s="15" t="inlineStr">
        <is>
          <t>CM</t>
        </is>
      </c>
      <c r="B47" s="15" t="inlineStr">
        <is>
          <t>CM.L2-3.4.8</t>
        </is>
      </c>
      <c r="C47" s="15" t="inlineStr">
        <is>
          <t>Application Execution Policy</t>
        </is>
      </c>
      <c r="D47" s="15" t="inlineStr">
        <is>
          <t>Apply deny-by-exception (blacklisting) policy to prevent the use of unauthorized software or deny-all, permit-by-exception (whitelisting) policy to allow the execution of authorized software.</t>
        </is>
      </c>
      <c r="E47" s="15" t="n">
        <v>116</v>
      </c>
      <c r="F47" s="15" t="n">
        <v>117</v>
      </c>
      <c r="G47" s="16" t="inlineStr">
        <is>
          <t>Yes</t>
        </is>
      </c>
      <c r="H47" s="17" t="inlineStr">
        <is>
          <t>FIVE_POINT</t>
        </is>
      </c>
      <c r="I47" s="16" t="inlineStr">
        <is>
          <t>NOT ASSESSED</t>
        </is>
      </c>
      <c r="J47" s="17" t="inlineStr"/>
      <c r="K47" s="17" t="inlineStr">
        <is>
          <t>No</t>
        </is>
      </c>
      <c r="L47" s="17" t="n">
        <v>5</v>
      </c>
      <c r="M47" s="17">
        <f>IF(AND(K47="Yes",I47="NOT MET",J47="PARTIALLY IMPLEMENTED"),"Yes","No")</f>
        <v/>
      </c>
      <c r="N47" s="17">
        <f>IF(OR(I47="MET",I47="NOT APPLICABLE",I47="NOT ASSESSED"),0,IF(AND(K47="Yes",J47="PARTIALLY IMPLEMENTED"),3,L47))</f>
        <v/>
      </c>
      <c r="O47" s="16" t="inlineStr">
        <is>
          <t>Not Started</t>
        </is>
      </c>
      <c r="P47" s="16" t="inlineStr"/>
      <c r="Q47" s="16" t="inlineStr"/>
      <c r="R47" s="16" t="inlineStr"/>
      <c r="S47" s="17">
        <f>IF(I47="NOT MET","Yes","No")</f>
        <v/>
      </c>
      <c r="T47" s="17" t="inlineStr"/>
      <c r="U47" s="17" t="inlineStr">
        <is>
          <t>32 CFR 170.24(c)(2) | Current eCFR</t>
        </is>
      </c>
      <c r="V47" s="17">
        <f>IF(I47="MET","Requirement assessed MET; no deduction.",IF(I47="NOT APPLICABLE","Requirement assessed NOT APPLICABLE; no deduction.",IF(I47="NOT ASSESSED","Requirement not assessed; score remains provisional.",IF(M47="Yes","Partial-credit condition applied; 3 points deducted.","Requirement assessed NOT MET; "&amp;L47&amp;" points deducted."))))</f>
        <v/>
      </c>
    </row>
    <row r="48">
      <c r="A48" s="15" t="inlineStr">
        <is>
          <t>CM</t>
        </is>
      </c>
      <c r="B48" s="15" t="inlineStr">
        <is>
          <t>CM.L2-3.4.9</t>
        </is>
      </c>
      <c r="C48" s="15" t="inlineStr">
        <is>
          <t>User-Installed Software</t>
        </is>
      </c>
      <c r="D48" s="15" t="inlineStr">
        <is>
          <t>Control and monitor user-installed software.</t>
        </is>
      </c>
      <c r="E48" s="15" t="n">
        <v>118</v>
      </c>
      <c r="F48" s="15" t="n">
        <v>119</v>
      </c>
      <c r="G48" s="16" t="inlineStr">
        <is>
          <t>Yes</t>
        </is>
      </c>
      <c r="H48" s="17" t="inlineStr">
        <is>
          <t>ONE_POINT</t>
        </is>
      </c>
      <c r="I48" s="16" t="inlineStr">
        <is>
          <t>NOT ASSESSED</t>
        </is>
      </c>
      <c r="J48" s="17" t="inlineStr"/>
      <c r="K48" s="17" t="inlineStr">
        <is>
          <t>No</t>
        </is>
      </c>
      <c r="L48" s="17" t="n">
        <v>1</v>
      </c>
      <c r="M48" s="17">
        <f>IF(AND(K48="Yes",I48="NOT MET",J48="PARTIALLY IMPLEMENTED"),"Yes","No")</f>
        <v/>
      </c>
      <c r="N48" s="17">
        <f>IF(OR(I48="MET",I48="NOT APPLICABLE",I48="NOT ASSESSED"),0,IF(AND(K48="Yes",J48="PARTIALLY IMPLEMENTED"),3,L48))</f>
        <v/>
      </c>
      <c r="O48" s="16" t="inlineStr">
        <is>
          <t>Not Started</t>
        </is>
      </c>
      <c r="P48" s="16" t="inlineStr"/>
      <c r="Q48" s="16" t="inlineStr"/>
      <c r="R48" s="16" t="inlineStr"/>
      <c r="S48" s="17">
        <f>IF(I48="NOT MET","Yes","No")</f>
        <v/>
      </c>
      <c r="T48" s="17" t="inlineStr"/>
      <c r="U48" s="17" t="inlineStr">
        <is>
          <t>32 CFR 170.24(c)(2) | Current eCFR</t>
        </is>
      </c>
      <c r="V48" s="17">
        <f>IF(I48="MET","Requirement assessed MET; no deduction.",IF(I48="NOT APPLICABLE","Requirement assessed NOT APPLICABLE; no deduction.",IF(I48="NOT ASSESSED","Requirement not assessed; score remains provisional.",IF(M48="Yes","Partial-credit condition applied; 3 points deducted.","Requirement assessed NOT MET; "&amp;L48&amp;" points deducted."))))</f>
        <v/>
      </c>
    </row>
    <row r="49">
      <c r="A49" s="15" t="inlineStr">
        <is>
          <t>IA</t>
        </is>
      </c>
      <c r="B49" s="15" t="inlineStr">
        <is>
          <t>IA.L2-3.5.1</t>
        </is>
      </c>
      <c r="C49" s="15" t="inlineStr">
        <is>
          <t>Identification [CUI Data]</t>
        </is>
      </c>
      <c r="D49" s="15" t="inlineStr">
        <is>
          <t>Identify system users, processes acting on behalf of users, and devices.</t>
        </is>
      </c>
      <c r="E49" s="15" t="n">
        <v>120</v>
      </c>
      <c r="F49" s="15" t="n">
        <v>121</v>
      </c>
      <c r="G49" s="16" t="inlineStr">
        <is>
          <t>Yes</t>
        </is>
      </c>
      <c r="H49" s="17" t="inlineStr">
        <is>
          <t>FIVE_POINT</t>
        </is>
      </c>
      <c r="I49" s="16" t="inlineStr">
        <is>
          <t>NOT ASSESSED</t>
        </is>
      </c>
      <c r="J49" s="17" t="inlineStr"/>
      <c r="K49" s="17" t="inlineStr">
        <is>
          <t>No</t>
        </is>
      </c>
      <c r="L49" s="17" t="n">
        <v>5</v>
      </c>
      <c r="M49" s="17">
        <f>IF(AND(K49="Yes",I49="NOT MET",J49="PARTIALLY IMPLEMENTED"),"Yes","No")</f>
        <v/>
      </c>
      <c r="N49" s="17">
        <f>IF(OR(I49="MET",I49="NOT APPLICABLE",I49="NOT ASSESSED"),0,IF(AND(K49="Yes",J49="PARTIALLY IMPLEMENTED"),3,L49))</f>
        <v/>
      </c>
      <c r="O49" s="16" t="inlineStr">
        <is>
          <t>Not Started</t>
        </is>
      </c>
      <c r="P49" s="16" t="inlineStr"/>
      <c r="Q49" s="16" t="inlineStr"/>
      <c r="R49" s="16" t="inlineStr"/>
      <c r="S49" s="17">
        <f>IF(I49="NOT MET","Yes","No")</f>
        <v/>
      </c>
      <c r="T49" s="17" t="inlineStr"/>
      <c r="U49" s="17" t="inlineStr">
        <is>
          <t>32 CFR 170.24(c)(2) | Current eCFR</t>
        </is>
      </c>
      <c r="V49" s="17">
        <f>IF(I49="MET","Requirement assessed MET; no deduction.",IF(I49="NOT APPLICABLE","Requirement assessed NOT APPLICABLE; no deduction.",IF(I49="NOT ASSESSED","Requirement not assessed; score remains provisional.",IF(M49="Yes","Partial-credit condition applied; 3 points deducted.","Requirement assessed NOT MET; "&amp;L49&amp;" points deducted."))))</f>
        <v/>
      </c>
    </row>
    <row r="50">
      <c r="A50" s="15" t="inlineStr">
        <is>
          <t>IA</t>
        </is>
      </c>
      <c r="B50" s="15" t="inlineStr">
        <is>
          <t>IA.L2-3.5.2</t>
        </is>
      </c>
      <c r="C50" s="15" t="inlineStr">
        <is>
          <t>Authentication [CUI Data]</t>
        </is>
      </c>
      <c r="D50" s="15" t="inlineStr">
        <is>
          <t>Authenticate (or verify) the identities of users, processes, or devices, as a prerequisite to allowing access to organizational systems.</t>
        </is>
      </c>
      <c r="E50" s="15" t="n">
        <v>122</v>
      </c>
      <c r="F50" s="15" t="n">
        <v>124</v>
      </c>
      <c r="G50" s="16" t="inlineStr">
        <is>
          <t>Yes</t>
        </is>
      </c>
      <c r="H50" s="17" t="inlineStr">
        <is>
          <t>FIVE_POINT</t>
        </is>
      </c>
      <c r="I50" s="16" t="inlineStr">
        <is>
          <t>NOT ASSESSED</t>
        </is>
      </c>
      <c r="J50" s="17" t="inlineStr"/>
      <c r="K50" s="17" t="inlineStr">
        <is>
          <t>No</t>
        </is>
      </c>
      <c r="L50" s="17" t="n">
        <v>5</v>
      </c>
      <c r="M50" s="17">
        <f>IF(AND(K50="Yes",I50="NOT MET",J50="PARTIALLY IMPLEMENTED"),"Yes","No")</f>
        <v/>
      </c>
      <c r="N50" s="17">
        <f>IF(OR(I50="MET",I50="NOT APPLICABLE",I50="NOT ASSESSED"),0,IF(AND(K50="Yes",J50="PARTIALLY IMPLEMENTED"),3,L50))</f>
        <v/>
      </c>
      <c r="O50" s="16" t="inlineStr">
        <is>
          <t>Not Started</t>
        </is>
      </c>
      <c r="P50" s="16" t="inlineStr"/>
      <c r="Q50" s="16" t="inlineStr"/>
      <c r="R50" s="16" t="inlineStr"/>
      <c r="S50" s="17">
        <f>IF(I50="NOT MET","Yes","No")</f>
        <v/>
      </c>
      <c r="T50" s="17" t="inlineStr"/>
      <c r="U50" s="17" t="inlineStr">
        <is>
          <t>32 CFR 170.24(c)(2) | Current eCFR</t>
        </is>
      </c>
      <c r="V50" s="17">
        <f>IF(I50="MET","Requirement assessed MET; no deduction.",IF(I50="NOT APPLICABLE","Requirement assessed NOT APPLICABLE; no deduction.",IF(I50="NOT ASSESSED","Requirement not assessed; score remains provisional.",IF(M50="Yes","Partial-credit condition applied; 3 points deducted.","Requirement assessed NOT MET; "&amp;L50&amp;" points deducted."))))</f>
        <v/>
      </c>
    </row>
    <row r="51">
      <c r="A51" s="15" t="inlineStr">
        <is>
          <t>IA</t>
        </is>
      </c>
      <c r="B51" s="15" t="inlineStr">
        <is>
          <t>IA.L2-3.5.3</t>
        </is>
      </c>
      <c r="C51" s="15" t="inlineStr">
        <is>
          <t>Multifactor Authentication</t>
        </is>
      </c>
      <c r="D51" s="15" t="inlineStr">
        <is>
          <t>Use multifactor authentication for local and network access to privileged accounts and for network access to non-privileged accounts.</t>
        </is>
      </c>
      <c r="E51" s="15" t="n">
        <v>125</v>
      </c>
      <c r="F51" s="15" t="n">
        <v>127</v>
      </c>
      <c r="G51" s="16" t="inlineStr">
        <is>
          <t>Yes</t>
        </is>
      </c>
      <c r="H51" s="17" t="inlineStr">
        <is>
          <t>PARTIAL_3_OR_5</t>
        </is>
      </c>
      <c r="I51" s="16" t="inlineStr">
        <is>
          <t>NOT ASSESSED</t>
        </is>
      </c>
      <c r="J51" s="16" t="inlineStr">
        <is>
          <t>NOT ASSESSED</t>
        </is>
      </c>
      <c r="K51" s="17" t="inlineStr">
        <is>
          <t>Yes</t>
        </is>
      </c>
      <c r="L51" s="17" t="n">
        <v>5</v>
      </c>
      <c r="M51" s="17">
        <f>IF(AND(K51="Yes",I51="NOT MET",J51="PARTIALLY IMPLEMENTED"),"Yes","No")</f>
        <v/>
      </c>
      <c r="N51" s="17">
        <f>IF(OR(I51="MET",I51="NOT APPLICABLE",I51="NOT ASSESSED"),0,IF(AND(K51="Yes",J51="PARTIALLY IMPLEMENTED"),3,L51))</f>
        <v/>
      </c>
      <c r="O51" s="16" t="inlineStr">
        <is>
          <t>Not Started</t>
        </is>
      </c>
      <c r="P51" s="16" t="inlineStr"/>
      <c r="Q51" s="16" t="inlineStr"/>
      <c r="R51" s="16" t="inlineStr"/>
      <c r="S51" s="17">
        <f>IF(I51="NOT MET","Yes","No")</f>
        <v/>
      </c>
      <c r="T51" s="17" t="inlineStr">
        <is>
          <t>MFA is implemented only for remote and privileged users.</t>
        </is>
      </c>
      <c r="U51" s="17" t="inlineStr">
        <is>
          <t>32 CFR 170.24(c)(2) | Current eCFR</t>
        </is>
      </c>
      <c r="V51" s="17">
        <f>IF(I51="MET","Requirement assessed MET; no deduction.",IF(I51="NOT APPLICABLE","Requirement assessed NOT APPLICABLE; no deduction.",IF(I51="NOT ASSESSED","Requirement not assessed; score remains provisional.",IF(M51="Yes","Partial-credit condition applied; 3 points deducted.","Requirement assessed NOT MET; "&amp;L51&amp;" points deducted."))))</f>
        <v/>
      </c>
    </row>
    <row r="52">
      <c r="A52" s="15" t="inlineStr">
        <is>
          <t>IA</t>
        </is>
      </c>
      <c r="B52" s="15" t="inlineStr">
        <is>
          <t>IA.L2-3.5.4</t>
        </is>
      </c>
      <c r="C52" s="15" t="inlineStr">
        <is>
          <t>Replay-Resistant Authentication</t>
        </is>
      </c>
      <c r="D52" s="15" t="inlineStr">
        <is>
          <t>Employ replay -resistant authentication mechanisms for network access to privileged and non-privileged accounts.</t>
        </is>
      </c>
      <c r="E52" s="15" t="n">
        <v>128</v>
      </c>
      <c r="F52" s="15" t="n">
        <v>129</v>
      </c>
      <c r="G52" s="16" t="inlineStr">
        <is>
          <t>Yes</t>
        </is>
      </c>
      <c r="H52" s="17" t="inlineStr">
        <is>
          <t>ONE_POINT</t>
        </is>
      </c>
      <c r="I52" s="16" t="inlineStr">
        <is>
          <t>NOT ASSESSED</t>
        </is>
      </c>
      <c r="J52" s="17" t="inlineStr"/>
      <c r="K52" s="17" t="inlineStr">
        <is>
          <t>No</t>
        </is>
      </c>
      <c r="L52" s="17" t="n">
        <v>1</v>
      </c>
      <c r="M52" s="17">
        <f>IF(AND(K52="Yes",I52="NOT MET",J52="PARTIALLY IMPLEMENTED"),"Yes","No")</f>
        <v/>
      </c>
      <c r="N52" s="17">
        <f>IF(OR(I52="MET",I52="NOT APPLICABLE",I52="NOT ASSESSED"),0,IF(AND(K52="Yes",J52="PARTIALLY IMPLEMENTED"),3,L52))</f>
        <v/>
      </c>
      <c r="O52" s="16" t="inlineStr">
        <is>
          <t>Not Started</t>
        </is>
      </c>
      <c r="P52" s="16" t="inlineStr"/>
      <c r="Q52" s="16" t="inlineStr"/>
      <c r="R52" s="16" t="inlineStr"/>
      <c r="S52" s="17">
        <f>IF(I52="NOT MET","Yes","No")</f>
        <v/>
      </c>
      <c r="T52" s="17" t="inlineStr"/>
      <c r="U52" s="17" t="inlineStr">
        <is>
          <t>32 CFR 170.24(c)(2) | Current eCFR</t>
        </is>
      </c>
      <c r="V52" s="17">
        <f>IF(I52="MET","Requirement assessed MET; no deduction.",IF(I52="NOT APPLICABLE","Requirement assessed NOT APPLICABLE; no deduction.",IF(I52="NOT ASSESSED","Requirement not assessed; score remains provisional.",IF(M52="Yes","Partial-credit condition applied; 3 points deducted.","Requirement assessed NOT MET; "&amp;L52&amp;" points deducted."))))</f>
        <v/>
      </c>
    </row>
    <row r="53">
      <c r="A53" s="15" t="inlineStr">
        <is>
          <t>IA</t>
        </is>
      </c>
      <c r="B53" s="15" t="inlineStr">
        <is>
          <t>IA.L2-3.5.5</t>
        </is>
      </c>
      <c r="C53" s="15" t="inlineStr">
        <is>
          <t>Identifier Reuse</t>
        </is>
      </c>
      <c r="D53" s="15" t="inlineStr">
        <is>
          <t>Prevent reuse of identifiers for a defined period.</t>
        </is>
      </c>
      <c r="E53" s="15" t="n">
        <v>130</v>
      </c>
      <c r="F53" s="15" t="n">
        <v>131</v>
      </c>
      <c r="G53" s="16" t="inlineStr">
        <is>
          <t>Yes</t>
        </is>
      </c>
      <c r="H53" s="17" t="inlineStr">
        <is>
          <t>ONE_POINT</t>
        </is>
      </c>
      <c r="I53" s="16" t="inlineStr">
        <is>
          <t>NOT ASSESSED</t>
        </is>
      </c>
      <c r="J53" s="17" t="inlineStr"/>
      <c r="K53" s="17" t="inlineStr">
        <is>
          <t>No</t>
        </is>
      </c>
      <c r="L53" s="17" t="n">
        <v>1</v>
      </c>
      <c r="M53" s="17">
        <f>IF(AND(K53="Yes",I53="NOT MET",J53="PARTIALLY IMPLEMENTED"),"Yes","No")</f>
        <v/>
      </c>
      <c r="N53" s="17">
        <f>IF(OR(I53="MET",I53="NOT APPLICABLE",I53="NOT ASSESSED"),0,IF(AND(K53="Yes",J53="PARTIALLY IMPLEMENTED"),3,L53))</f>
        <v/>
      </c>
      <c r="O53" s="16" t="inlineStr">
        <is>
          <t>Not Started</t>
        </is>
      </c>
      <c r="P53" s="16" t="inlineStr"/>
      <c r="Q53" s="16" t="inlineStr"/>
      <c r="R53" s="16" t="inlineStr"/>
      <c r="S53" s="17">
        <f>IF(I53="NOT MET","Yes","No")</f>
        <v/>
      </c>
      <c r="T53" s="17" t="inlineStr"/>
      <c r="U53" s="17" t="inlineStr">
        <is>
          <t>32 CFR 170.24(c)(2) | Current eCFR</t>
        </is>
      </c>
      <c r="V53" s="17">
        <f>IF(I53="MET","Requirement assessed MET; no deduction.",IF(I53="NOT APPLICABLE","Requirement assessed NOT APPLICABLE; no deduction.",IF(I53="NOT ASSESSED","Requirement not assessed; score remains provisional.",IF(M53="Yes","Partial-credit condition applied; 3 points deducted.","Requirement assessed NOT MET; "&amp;L53&amp;" points deducted."))))</f>
        <v/>
      </c>
    </row>
    <row r="54">
      <c r="A54" s="15" t="inlineStr">
        <is>
          <t>IA</t>
        </is>
      </c>
      <c r="B54" s="15" t="inlineStr">
        <is>
          <t>IA.L2-3.5.6</t>
        </is>
      </c>
      <c r="C54" s="15" t="inlineStr">
        <is>
          <t>Identifier Handling</t>
        </is>
      </c>
      <c r="D54" s="15" t="inlineStr">
        <is>
          <t>Disable identifiers after a defined period of inactivity.</t>
        </is>
      </c>
      <c r="E54" s="15" t="n">
        <v>132</v>
      </c>
      <c r="F54" s="15" t="n">
        <v>133</v>
      </c>
      <c r="G54" s="16" t="inlineStr">
        <is>
          <t>Yes</t>
        </is>
      </c>
      <c r="H54" s="17" t="inlineStr">
        <is>
          <t>ONE_POINT</t>
        </is>
      </c>
      <c r="I54" s="16" t="inlineStr">
        <is>
          <t>NOT ASSESSED</t>
        </is>
      </c>
      <c r="J54" s="17" t="inlineStr"/>
      <c r="K54" s="17" t="inlineStr">
        <is>
          <t>No</t>
        </is>
      </c>
      <c r="L54" s="17" t="n">
        <v>1</v>
      </c>
      <c r="M54" s="17">
        <f>IF(AND(K54="Yes",I54="NOT MET",J54="PARTIALLY IMPLEMENTED"),"Yes","No")</f>
        <v/>
      </c>
      <c r="N54" s="17">
        <f>IF(OR(I54="MET",I54="NOT APPLICABLE",I54="NOT ASSESSED"),0,IF(AND(K54="Yes",J54="PARTIALLY IMPLEMENTED"),3,L54))</f>
        <v/>
      </c>
      <c r="O54" s="16" t="inlineStr">
        <is>
          <t>Not Started</t>
        </is>
      </c>
      <c r="P54" s="16" t="inlineStr"/>
      <c r="Q54" s="16" t="inlineStr"/>
      <c r="R54" s="16" t="inlineStr"/>
      <c r="S54" s="17">
        <f>IF(I54="NOT MET","Yes","No")</f>
        <v/>
      </c>
      <c r="T54" s="17" t="inlineStr"/>
      <c r="U54" s="17" t="inlineStr">
        <is>
          <t>32 CFR 170.24(c)(2) | Current eCFR</t>
        </is>
      </c>
      <c r="V54" s="17">
        <f>IF(I54="MET","Requirement assessed MET; no deduction.",IF(I54="NOT APPLICABLE","Requirement assessed NOT APPLICABLE; no deduction.",IF(I54="NOT ASSESSED","Requirement not assessed; score remains provisional.",IF(M54="Yes","Partial-credit condition applied; 3 points deducted.","Requirement assessed NOT MET; "&amp;L54&amp;" points deducted."))))</f>
        <v/>
      </c>
    </row>
    <row r="55">
      <c r="A55" s="15" t="inlineStr">
        <is>
          <t>IA</t>
        </is>
      </c>
      <c r="B55" s="15" t="inlineStr">
        <is>
          <t>IA.L2-3.5.7</t>
        </is>
      </c>
      <c r="C55" s="15" t="inlineStr">
        <is>
          <t>Password Complexity</t>
        </is>
      </c>
      <c r="D55" s="15" t="inlineStr">
        <is>
          <t>Enforce a minimum password complexity and change of characters when new passwords are created.</t>
        </is>
      </c>
      <c r="E55" s="15" t="n">
        <v>134</v>
      </c>
      <c r="F55" s="15" t="n">
        <v>135</v>
      </c>
      <c r="G55" s="16" t="inlineStr">
        <is>
          <t>Yes</t>
        </is>
      </c>
      <c r="H55" s="17" t="inlineStr">
        <is>
          <t>ONE_POINT</t>
        </is>
      </c>
      <c r="I55" s="16" t="inlineStr">
        <is>
          <t>NOT ASSESSED</t>
        </is>
      </c>
      <c r="J55" s="17" t="inlineStr"/>
      <c r="K55" s="17" t="inlineStr">
        <is>
          <t>No</t>
        </is>
      </c>
      <c r="L55" s="17" t="n">
        <v>1</v>
      </c>
      <c r="M55" s="17">
        <f>IF(AND(K55="Yes",I55="NOT MET",J55="PARTIALLY IMPLEMENTED"),"Yes","No")</f>
        <v/>
      </c>
      <c r="N55" s="17">
        <f>IF(OR(I55="MET",I55="NOT APPLICABLE",I55="NOT ASSESSED"),0,IF(AND(K55="Yes",J55="PARTIALLY IMPLEMENTED"),3,L55))</f>
        <v/>
      </c>
      <c r="O55" s="16" t="inlineStr">
        <is>
          <t>Not Started</t>
        </is>
      </c>
      <c r="P55" s="16" t="inlineStr"/>
      <c r="Q55" s="16" t="inlineStr"/>
      <c r="R55" s="16" t="inlineStr"/>
      <c r="S55" s="17">
        <f>IF(I55="NOT MET","Yes","No")</f>
        <v/>
      </c>
      <c r="T55" s="17" t="inlineStr"/>
      <c r="U55" s="17" t="inlineStr">
        <is>
          <t>32 CFR 170.24(c)(2) | Current eCFR</t>
        </is>
      </c>
      <c r="V55" s="17">
        <f>IF(I55="MET","Requirement assessed MET; no deduction.",IF(I55="NOT APPLICABLE","Requirement assessed NOT APPLICABLE; no deduction.",IF(I55="NOT ASSESSED","Requirement not assessed; score remains provisional.",IF(M55="Yes","Partial-credit condition applied; 3 points deducted.","Requirement assessed NOT MET; "&amp;L55&amp;" points deducted."))))</f>
        <v/>
      </c>
    </row>
    <row r="56">
      <c r="A56" s="15" t="inlineStr">
        <is>
          <t>IA</t>
        </is>
      </c>
      <c r="B56" s="15" t="inlineStr">
        <is>
          <t>IA.L2-3.5.8</t>
        </is>
      </c>
      <c r="C56" s="15" t="inlineStr">
        <is>
          <t>Password Reuse</t>
        </is>
      </c>
      <c r="D56" s="15" t="inlineStr">
        <is>
          <t>Prohibit password reuse for a specified number of generations.</t>
        </is>
      </c>
      <c r="E56" s="15" t="n">
        <v>136</v>
      </c>
      <c r="F56" s="15" t="n">
        <v>137</v>
      </c>
      <c r="G56" s="16" t="inlineStr">
        <is>
          <t>Yes</t>
        </is>
      </c>
      <c r="H56" s="17" t="inlineStr">
        <is>
          <t>ONE_POINT</t>
        </is>
      </c>
      <c r="I56" s="16" t="inlineStr">
        <is>
          <t>NOT ASSESSED</t>
        </is>
      </c>
      <c r="J56" s="17" t="inlineStr"/>
      <c r="K56" s="17" t="inlineStr">
        <is>
          <t>No</t>
        </is>
      </c>
      <c r="L56" s="17" t="n">
        <v>1</v>
      </c>
      <c r="M56" s="17">
        <f>IF(AND(K56="Yes",I56="NOT MET",J56="PARTIALLY IMPLEMENTED"),"Yes","No")</f>
        <v/>
      </c>
      <c r="N56" s="17">
        <f>IF(OR(I56="MET",I56="NOT APPLICABLE",I56="NOT ASSESSED"),0,IF(AND(K56="Yes",J56="PARTIALLY IMPLEMENTED"),3,L56))</f>
        <v/>
      </c>
      <c r="O56" s="16" t="inlineStr">
        <is>
          <t>Not Started</t>
        </is>
      </c>
      <c r="P56" s="16" t="inlineStr"/>
      <c r="Q56" s="16" t="inlineStr"/>
      <c r="R56" s="16" t="inlineStr"/>
      <c r="S56" s="17">
        <f>IF(I56="NOT MET","Yes","No")</f>
        <v/>
      </c>
      <c r="T56" s="17" t="inlineStr"/>
      <c r="U56" s="17" t="inlineStr">
        <is>
          <t>32 CFR 170.24(c)(2) | Current eCFR</t>
        </is>
      </c>
      <c r="V56" s="17">
        <f>IF(I56="MET","Requirement assessed MET; no deduction.",IF(I56="NOT APPLICABLE","Requirement assessed NOT APPLICABLE; no deduction.",IF(I56="NOT ASSESSED","Requirement not assessed; score remains provisional.",IF(M56="Yes","Partial-credit condition applied; 3 points deducted.","Requirement assessed NOT MET; "&amp;L56&amp;" points deducted."))))</f>
        <v/>
      </c>
    </row>
    <row r="57">
      <c r="A57" s="15" t="inlineStr">
        <is>
          <t>IA</t>
        </is>
      </c>
      <c r="B57" s="15" t="inlineStr">
        <is>
          <t>IA.L2-3.5.9</t>
        </is>
      </c>
      <c r="C57" s="15" t="inlineStr">
        <is>
          <t>Temporary Passwords</t>
        </is>
      </c>
      <c r="D57" s="15" t="inlineStr">
        <is>
          <t>Allow temporary password use for system logons with an immediate change to a permanent password.</t>
        </is>
      </c>
      <c r="E57" s="15" t="n">
        <v>138</v>
      </c>
      <c r="F57" s="15" t="n">
        <v>139</v>
      </c>
      <c r="G57" s="16" t="inlineStr">
        <is>
          <t>Yes</t>
        </is>
      </c>
      <c r="H57" s="17" t="inlineStr">
        <is>
          <t>ONE_POINT</t>
        </is>
      </c>
      <c r="I57" s="16" t="inlineStr">
        <is>
          <t>NOT ASSESSED</t>
        </is>
      </c>
      <c r="J57" s="17" t="inlineStr"/>
      <c r="K57" s="17" t="inlineStr">
        <is>
          <t>No</t>
        </is>
      </c>
      <c r="L57" s="17" t="n">
        <v>1</v>
      </c>
      <c r="M57" s="17">
        <f>IF(AND(K57="Yes",I57="NOT MET",J57="PARTIALLY IMPLEMENTED"),"Yes","No")</f>
        <v/>
      </c>
      <c r="N57" s="17">
        <f>IF(OR(I57="MET",I57="NOT APPLICABLE",I57="NOT ASSESSED"),0,IF(AND(K57="Yes",J57="PARTIALLY IMPLEMENTED"),3,L57))</f>
        <v/>
      </c>
      <c r="O57" s="16" t="inlineStr">
        <is>
          <t>Not Started</t>
        </is>
      </c>
      <c r="P57" s="16" t="inlineStr"/>
      <c r="Q57" s="16" t="inlineStr"/>
      <c r="R57" s="16" t="inlineStr"/>
      <c r="S57" s="17">
        <f>IF(I57="NOT MET","Yes","No")</f>
        <v/>
      </c>
      <c r="T57" s="17" t="inlineStr"/>
      <c r="U57" s="17" t="inlineStr">
        <is>
          <t>32 CFR 170.24(c)(2) | Current eCFR</t>
        </is>
      </c>
      <c r="V57" s="17">
        <f>IF(I57="MET","Requirement assessed MET; no deduction.",IF(I57="NOT APPLICABLE","Requirement assessed NOT APPLICABLE; no deduction.",IF(I57="NOT ASSESSED","Requirement not assessed; score remains provisional.",IF(M57="Yes","Partial-credit condition applied; 3 points deducted.","Requirement assessed NOT MET; "&amp;L57&amp;" points deducted."))))</f>
        <v/>
      </c>
    </row>
    <row r="58">
      <c r="A58" s="15" t="inlineStr">
        <is>
          <t>IA</t>
        </is>
      </c>
      <c r="B58" s="15" t="inlineStr">
        <is>
          <t>IA.L2-3.5.10</t>
        </is>
      </c>
      <c r="C58" s="15" t="inlineStr">
        <is>
          <t>Cryptographically-Protected Passwords</t>
        </is>
      </c>
      <c r="D58" s="15" t="inlineStr">
        <is>
          <t>Store and transmit only cryptographically-protected passwords.</t>
        </is>
      </c>
      <c r="E58" s="15" t="n">
        <v>140</v>
      </c>
      <c r="F58" s="15" t="n">
        <v>141</v>
      </c>
      <c r="G58" s="16" t="inlineStr">
        <is>
          <t>Yes</t>
        </is>
      </c>
      <c r="H58" s="17" t="inlineStr">
        <is>
          <t>FIVE_POINT</t>
        </is>
      </c>
      <c r="I58" s="16" t="inlineStr">
        <is>
          <t>NOT ASSESSED</t>
        </is>
      </c>
      <c r="J58" s="17" t="inlineStr"/>
      <c r="K58" s="17" t="inlineStr">
        <is>
          <t>No</t>
        </is>
      </c>
      <c r="L58" s="17" t="n">
        <v>5</v>
      </c>
      <c r="M58" s="17">
        <f>IF(AND(K58="Yes",I58="NOT MET",J58="PARTIALLY IMPLEMENTED"),"Yes","No")</f>
        <v/>
      </c>
      <c r="N58" s="17">
        <f>IF(OR(I58="MET",I58="NOT APPLICABLE",I58="NOT ASSESSED"),0,IF(AND(K58="Yes",J58="PARTIALLY IMPLEMENTED"),3,L58))</f>
        <v/>
      </c>
      <c r="O58" s="16" t="inlineStr">
        <is>
          <t>Not Started</t>
        </is>
      </c>
      <c r="P58" s="16" t="inlineStr"/>
      <c r="Q58" s="16" t="inlineStr"/>
      <c r="R58" s="16" t="inlineStr"/>
      <c r="S58" s="17">
        <f>IF(I58="NOT MET","Yes","No")</f>
        <v/>
      </c>
      <c r="T58" s="17" t="inlineStr"/>
      <c r="U58" s="17" t="inlineStr">
        <is>
          <t>32 CFR 170.24(c)(2) | Current eCFR</t>
        </is>
      </c>
      <c r="V58" s="17">
        <f>IF(I58="MET","Requirement assessed MET; no deduction.",IF(I58="NOT APPLICABLE","Requirement assessed NOT APPLICABLE; no deduction.",IF(I58="NOT ASSESSED","Requirement not assessed; score remains provisional.",IF(M58="Yes","Partial-credit condition applied; 3 points deducted.","Requirement assessed NOT MET; "&amp;L58&amp;" points deducted."))))</f>
        <v/>
      </c>
    </row>
    <row r="59">
      <c r="A59" s="15" t="inlineStr">
        <is>
          <t>IA</t>
        </is>
      </c>
      <c r="B59" s="15" t="inlineStr">
        <is>
          <t>IA.L2-3.5.11</t>
        </is>
      </c>
      <c r="C59" s="15" t="inlineStr">
        <is>
          <t>Obscure Feedback</t>
        </is>
      </c>
      <c r="D59" s="15" t="inlineStr">
        <is>
          <t>Obscure feedback of authentication information.</t>
        </is>
      </c>
      <c r="E59" s="15" t="n">
        <v>142</v>
      </c>
      <c r="F59" s="15" t="n">
        <v>143</v>
      </c>
      <c r="G59" s="16" t="inlineStr">
        <is>
          <t>Yes</t>
        </is>
      </c>
      <c r="H59" s="17" t="inlineStr">
        <is>
          <t>ONE_POINT</t>
        </is>
      </c>
      <c r="I59" s="16" t="inlineStr">
        <is>
          <t>NOT ASSESSED</t>
        </is>
      </c>
      <c r="J59" s="17" t="inlineStr"/>
      <c r="K59" s="17" t="inlineStr">
        <is>
          <t>No</t>
        </is>
      </c>
      <c r="L59" s="17" t="n">
        <v>1</v>
      </c>
      <c r="M59" s="17">
        <f>IF(AND(K59="Yes",I59="NOT MET",J59="PARTIALLY IMPLEMENTED"),"Yes","No")</f>
        <v/>
      </c>
      <c r="N59" s="17">
        <f>IF(OR(I59="MET",I59="NOT APPLICABLE",I59="NOT ASSESSED"),0,IF(AND(K59="Yes",J59="PARTIALLY IMPLEMENTED"),3,L59))</f>
        <v/>
      </c>
      <c r="O59" s="16" t="inlineStr">
        <is>
          <t>Not Started</t>
        </is>
      </c>
      <c r="P59" s="16" t="inlineStr"/>
      <c r="Q59" s="16" t="inlineStr"/>
      <c r="R59" s="16" t="inlineStr"/>
      <c r="S59" s="17">
        <f>IF(I59="NOT MET","Yes","No")</f>
        <v/>
      </c>
      <c r="T59" s="17" t="inlineStr"/>
      <c r="U59" s="17" t="inlineStr">
        <is>
          <t>32 CFR 170.24(c)(2) | Current eCFR</t>
        </is>
      </c>
      <c r="V59" s="17">
        <f>IF(I59="MET","Requirement assessed MET; no deduction.",IF(I59="NOT APPLICABLE","Requirement assessed NOT APPLICABLE; no deduction.",IF(I59="NOT ASSESSED","Requirement not assessed; score remains provisional.",IF(M59="Yes","Partial-credit condition applied; 3 points deducted.","Requirement assessed NOT MET; "&amp;L59&amp;" points deducted."))))</f>
        <v/>
      </c>
    </row>
    <row r="60">
      <c r="A60" s="15" t="inlineStr">
        <is>
          <t>IR</t>
        </is>
      </c>
      <c r="B60" s="15" t="inlineStr">
        <is>
          <t>IR.L2-3.6.1</t>
        </is>
      </c>
      <c r="C60" s="15" t="inlineStr">
        <is>
          <t>Incident Handling</t>
        </is>
      </c>
      <c r="D60" s="15" t="inlineStr">
        <is>
          <t>Establish an operational incident-handling capability for organizational systems that includes preparation, detection, analysis, containment, recovery, and user response activities.</t>
        </is>
      </c>
      <c r="E60" s="15" t="n">
        <v>144</v>
      </c>
      <c r="F60" s="15" t="n">
        <v>146</v>
      </c>
      <c r="G60" s="16" t="inlineStr">
        <is>
          <t>Yes</t>
        </is>
      </c>
      <c r="H60" s="17" t="inlineStr">
        <is>
          <t>FIVE_POINT</t>
        </is>
      </c>
      <c r="I60" s="16" t="inlineStr">
        <is>
          <t>NOT ASSESSED</t>
        </is>
      </c>
      <c r="J60" s="17" t="inlineStr"/>
      <c r="K60" s="17" t="inlineStr">
        <is>
          <t>No</t>
        </is>
      </c>
      <c r="L60" s="17" t="n">
        <v>5</v>
      </c>
      <c r="M60" s="17">
        <f>IF(AND(K60="Yes",I60="NOT MET",J60="PARTIALLY IMPLEMENTED"),"Yes","No")</f>
        <v/>
      </c>
      <c r="N60" s="17">
        <f>IF(OR(I60="MET",I60="NOT APPLICABLE",I60="NOT ASSESSED"),0,IF(AND(K60="Yes",J60="PARTIALLY IMPLEMENTED"),3,L60))</f>
        <v/>
      </c>
      <c r="O60" s="16" t="inlineStr">
        <is>
          <t>Not Started</t>
        </is>
      </c>
      <c r="P60" s="16" t="inlineStr"/>
      <c r="Q60" s="16" t="inlineStr"/>
      <c r="R60" s="16" t="inlineStr"/>
      <c r="S60" s="17">
        <f>IF(I60="NOT MET","Yes","No")</f>
        <v/>
      </c>
      <c r="T60" s="17" t="inlineStr"/>
      <c r="U60" s="17" t="inlineStr">
        <is>
          <t>32 CFR 170.24(c)(2) | Current eCFR</t>
        </is>
      </c>
      <c r="V60" s="17">
        <f>IF(I60="MET","Requirement assessed MET; no deduction.",IF(I60="NOT APPLICABLE","Requirement assessed NOT APPLICABLE; no deduction.",IF(I60="NOT ASSESSED","Requirement not assessed; score remains provisional.",IF(M60="Yes","Partial-credit condition applied; 3 points deducted.","Requirement assessed NOT MET; "&amp;L60&amp;" points deducted."))))</f>
        <v/>
      </c>
    </row>
    <row r="61">
      <c r="A61" s="15" t="inlineStr">
        <is>
          <t>IR</t>
        </is>
      </c>
      <c r="B61" s="15" t="inlineStr">
        <is>
          <t>IR.L2-3.6.2</t>
        </is>
      </c>
      <c r="C61" s="15" t="inlineStr">
        <is>
          <t>Incident Reporting</t>
        </is>
      </c>
      <c r="D61" s="15" t="inlineStr">
        <is>
          <t>Track, document, and report incidents to designated officials and/or authorities both internal and external to the organization.</t>
        </is>
      </c>
      <c r="E61" s="15" t="n">
        <v>147</v>
      </c>
      <c r="F61" s="15" t="n">
        <v>149</v>
      </c>
      <c r="G61" s="16" t="inlineStr">
        <is>
          <t>Yes</t>
        </is>
      </c>
      <c r="H61" s="17" t="inlineStr">
        <is>
          <t>FIVE_POINT</t>
        </is>
      </c>
      <c r="I61" s="16" t="inlineStr">
        <is>
          <t>NOT ASSESSED</t>
        </is>
      </c>
      <c r="J61" s="17" t="inlineStr"/>
      <c r="K61" s="17" t="inlineStr">
        <is>
          <t>No</t>
        </is>
      </c>
      <c r="L61" s="17" t="n">
        <v>5</v>
      </c>
      <c r="M61" s="17">
        <f>IF(AND(K61="Yes",I61="NOT MET",J61="PARTIALLY IMPLEMENTED"),"Yes","No")</f>
        <v/>
      </c>
      <c r="N61" s="17">
        <f>IF(OR(I61="MET",I61="NOT APPLICABLE",I61="NOT ASSESSED"),0,IF(AND(K61="Yes",J61="PARTIALLY IMPLEMENTED"),3,L61))</f>
        <v/>
      </c>
      <c r="O61" s="16" t="inlineStr">
        <is>
          <t>Not Started</t>
        </is>
      </c>
      <c r="P61" s="16" t="inlineStr"/>
      <c r="Q61" s="16" t="inlineStr"/>
      <c r="R61" s="16" t="inlineStr"/>
      <c r="S61" s="17">
        <f>IF(I61="NOT MET","Yes","No")</f>
        <v/>
      </c>
      <c r="T61" s="17" t="inlineStr"/>
      <c r="U61" s="17" t="inlineStr">
        <is>
          <t>32 CFR 170.24(c)(2) | Current eCFR</t>
        </is>
      </c>
      <c r="V61" s="17">
        <f>IF(I61="MET","Requirement assessed MET; no deduction.",IF(I61="NOT APPLICABLE","Requirement assessed NOT APPLICABLE; no deduction.",IF(I61="NOT ASSESSED","Requirement not assessed; score remains provisional.",IF(M61="Yes","Partial-credit condition applied; 3 points deducted.","Requirement assessed NOT MET; "&amp;L61&amp;" points deducted."))))</f>
        <v/>
      </c>
    </row>
    <row r="62">
      <c r="A62" s="15" t="inlineStr">
        <is>
          <t>IR</t>
        </is>
      </c>
      <c r="B62" s="15" t="inlineStr">
        <is>
          <t>IR.L2-3.6.3</t>
        </is>
      </c>
      <c r="C62" s="15" t="inlineStr">
        <is>
          <t>Incident Response Testing</t>
        </is>
      </c>
      <c r="D62" s="15" t="inlineStr">
        <is>
          <t>Test the organizational incident response capability.</t>
        </is>
      </c>
      <c r="E62" s="15" t="n">
        <v>150</v>
      </c>
      <c r="F62" s="15" t="n">
        <v>151</v>
      </c>
      <c r="G62" s="16" t="inlineStr">
        <is>
          <t>Yes</t>
        </is>
      </c>
      <c r="H62" s="17" t="inlineStr">
        <is>
          <t>ONE_POINT</t>
        </is>
      </c>
      <c r="I62" s="16" t="inlineStr">
        <is>
          <t>NOT ASSESSED</t>
        </is>
      </c>
      <c r="J62" s="17" t="inlineStr"/>
      <c r="K62" s="17" t="inlineStr">
        <is>
          <t>No</t>
        </is>
      </c>
      <c r="L62" s="17" t="n">
        <v>1</v>
      </c>
      <c r="M62" s="17">
        <f>IF(AND(K62="Yes",I62="NOT MET",J62="PARTIALLY IMPLEMENTED"),"Yes","No")</f>
        <v/>
      </c>
      <c r="N62" s="17">
        <f>IF(OR(I62="MET",I62="NOT APPLICABLE",I62="NOT ASSESSED"),0,IF(AND(K62="Yes",J62="PARTIALLY IMPLEMENTED"),3,L62))</f>
        <v/>
      </c>
      <c r="O62" s="16" t="inlineStr">
        <is>
          <t>Not Started</t>
        </is>
      </c>
      <c r="P62" s="16" t="inlineStr"/>
      <c r="Q62" s="16" t="inlineStr"/>
      <c r="R62" s="16" t="inlineStr"/>
      <c r="S62" s="17">
        <f>IF(I62="NOT MET","Yes","No")</f>
        <v/>
      </c>
      <c r="T62" s="17" t="inlineStr"/>
      <c r="U62" s="17" t="inlineStr">
        <is>
          <t>32 CFR 170.24(c)(2) | Current eCFR</t>
        </is>
      </c>
      <c r="V62" s="17">
        <f>IF(I62="MET","Requirement assessed MET; no deduction.",IF(I62="NOT APPLICABLE","Requirement assessed NOT APPLICABLE; no deduction.",IF(I62="NOT ASSESSED","Requirement not assessed; score remains provisional.",IF(M62="Yes","Partial-credit condition applied; 3 points deducted.","Requirement assessed NOT MET; "&amp;L62&amp;" points deducted."))))</f>
        <v/>
      </c>
    </row>
    <row r="63">
      <c r="A63" s="15" t="inlineStr">
        <is>
          <t>MA</t>
        </is>
      </c>
      <c r="B63" s="15" t="inlineStr">
        <is>
          <t>MA.L2-3.7.1</t>
        </is>
      </c>
      <c r="C63" s="15" t="inlineStr">
        <is>
          <t>Perform Maintenance</t>
        </is>
      </c>
      <c r="D63" s="15" t="inlineStr">
        <is>
          <t>Perform maintenance on organizational systems.</t>
        </is>
      </c>
      <c r="E63" s="15" t="n">
        <v>152</v>
      </c>
      <c r="F63" s="15" t="n">
        <v>153</v>
      </c>
      <c r="G63" s="16" t="inlineStr">
        <is>
          <t>Yes</t>
        </is>
      </c>
      <c r="H63" s="17" t="inlineStr">
        <is>
          <t>THREE_POINT</t>
        </is>
      </c>
      <c r="I63" s="16" t="inlineStr">
        <is>
          <t>NOT ASSESSED</t>
        </is>
      </c>
      <c r="J63" s="17" t="inlineStr"/>
      <c r="K63" s="17" t="inlineStr">
        <is>
          <t>No</t>
        </is>
      </c>
      <c r="L63" s="17" t="n">
        <v>3</v>
      </c>
      <c r="M63" s="17">
        <f>IF(AND(K63="Yes",I63="NOT MET",J63="PARTIALLY IMPLEMENTED"),"Yes","No")</f>
        <v/>
      </c>
      <c r="N63" s="17">
        <f>IF(OR(I63="MET",I63="NOT APPLICABLE",I63="NOT ASSESSED"),0,IF(AND(K63="Yes",J63="PARTIALLY IMPLEMENTED"),3,L63))</f>
        <v/>
      </c>
      <c r="O63" s="16" t="inlineStr">
        <is>
          <t>Not Started</t>
        </is>
      </c>
      <c r="P63" s="16" t="inlineStr"/>
      <c r="Q63" s="16" t="inlineStr"/>
      <c r="R63" s="16" t="inlineStr"/>
      <c r="S63" s="17">
        <f>IF(I63="NOT MET","Yes","No")</f>
        <v/>
      </c>
      <c r="T63" s="17" t="inlineStr"/>
      <c r="U63" s="17" t="inlineStr">
        <is>
          <t>32 CFR 170.24(c)(2) | Current eCFR</t>
        </is>
      </c>
      <c r="V63" s="17">
        <f>IF(I63="MET","Requirement assessed MET; no deduction.",IF(I63="NOT APPLICABLE","Requirement assessed NOT APPLICABLE; no deduction.",IF(I63="NOT ASSESSED","Requirement not assessed; score remains provisional.",IF(M63="Yes","Partial-credit condition applied; 3 points deducted.","Requirement assessed NOT MET; "&amp;L63&amp;" points deducted."))))</f>
        <v/>
      </c>
    </row>
    <row r="64">
      <c r="A64" s="15" t="inlineStr">
        <is>
          <t>MA</t>
        </is>
      </c>
      <c r="B64" s="15" t="inlineStr">
        <is>
          <t>MA.L2-3.7.2</t>
        </is>
      </c>
      <c r="C64" s="15" t="inlineStr">
        <is>
          <t>System Maintenance Control</t>
        </is>
      </c>
      <c r="D64" s="15" t="inlineStr">
        <is>
          <t>Provide controls on the tools, techniques, mechanisms, and personnel used to conduct system maintenance.</t>
        </is>
      </c>
      <c r="E64" s="15" t="n">
        <v>154</v>
      </c>
      <c r="F64" s="15" t="n">
        <v>155</v>
      </c>
      <c r="G64" s="16" t="inlineStr">
        <is>
          <t>Yes</t>
        </is>
      </c>
      <c r="H64" s="17" t="inlineStr">
        <is>
          <t>FIVE_POINT</t>
        </is>
      </c>
      <c r="I64" s="16" t="inlineStr">
        <is>
          <t>NOT ASSESSED</t>
        </is>
      </c>
      <c r="J64" s="17" t="inlineStr"/>
      <c r="K64" s="17" t="inlineStr">
        <is>
          <t>No</t>
        </is>
      </c>
      <c r="L64" s="17" t="n">
        <v>5</v>
      </c>
      <c r="M64" s="17">
        <f>IF(AND(K64="Yes",I64="NOT MET",J64="PARTIALLY IMPLEMENTED"),"Yes","No")</f>
        <v/>
      </c>
      <c r="N64" s="17">
        <f>IF(OR(I64="MET",I64="NOT APPLICABLE",I64="NOT ASSESSED"),0,IF(AND(K64="Yes",J64="PARTIALLY IMPLEMENTED"),3,L64))</f>
        <v/>
      </c>
      <c r="O64" s="16" t="inlineStr">
        <is>
          <t>Not Started</t>
        </is>
      </c>
      <c r="P64" s="16" t="inlineStr"/>
      <c r="Q64" s="16" t="inlineStr"/>
      <c r="R64" s="16" t="inlineStr"/>
      <c r="S64" s="17">
        <f>IF(I64="NOT MET","Yes","No")</f>
        <v/>
      </c>
      <c r="T64" s="17" t="inlineStr"/>
      <c r="U64" s="17" t="inlineStr">
        <is>
          <t>32 CFR 170.24(c)(2) | Current eCFR</t>
        </is>
      </c>
      <c r="V64" s="17">
        <f>IF(I64="MET","Requirement assessed MET; no deduction.",IF(I64="NOT APPLICABLE","Requirement assessed NOT APPLICABLE; no deduction.",IF(I64="NOT ASSESSED","Requirement not assessed; score remains provisional.",IF(M64="Yes","Partial-credit condition applied; 3 points deducted.","Requirement assessed NOT MET; "&amp;L64&amp;" points deducted."))))</f>
        <v/>
      </c>
    </row>
    <row r="65">
      <c r="A65" s="15" t="inlineStr">
        <is>
          <t>MA</t>
        </is>
      </c>
      <c r="B65" s="15" t="inlineStr">
        <is>
          <t>MA.L2-3.7.3</t>
        </is>
      </c>
      <c r="C65" s="15" t="inlineStr">
        <is>
          <t>Equipment Sanitization</t>
        </is>
      </c>
      <c r="D65" s="15" t="inlineStr">
        <is>
          <t>Ensure equipment removed for off-site maintenance is sanitized of any CUI.</t>
        </is>
      </c>
      <c r="E65" s="15" t="n">
        <v>156</v>
      </c>
      <c r="F65" s="15" t="n">
        <v>157</v>
      </c>
      <c r="G65" s="16" t="inlineStr">
        <is>
          <t>Yes</t>
        </is>
      </c>
      <c r="H65" s="17" t="inlineStr">
        <is>
          <t>ONE_POINT</t>
        </is>
      </c>
      <c r="I65" s="16" t="inlineStr">
        <is>
          <t>NOT ASSESSED</t>
        </is>
      </c>
      <c r="J65" s="17" t="inlineStr"/>
      <c r="K65" s="17" t="inlineStr">
        <is>
          <t>No</t>
        </is>
      </c>
      <c r="L65" s="17" t="n">
        <v>1</v>
      </c>
      <c r="M65" s="17">
        <f>IF(AND(K65="Yes",I65="NOT MET",J65="PARTIALLY IMPLEMENTED"),"Yes","No")</f>
        <v/>
      </c>
      <c r="N65" s="17">
        <f>IF(OR(I65="MET",I65="NOT APPLICABLE",I65="NOT ASSESSED"),0,IF(AND(K65="Yes",J65="PARTIALLY IMPLEMENTED"),3,L65))</f>
        <v/>
      </c>
      <c r="O65" s="16" t="inlineStr">
        <is>
          <t>Not Started</t>
        </is>
      </c>
      <c r="P65" s="16" t="inlineStr"/>
      <c r="Q65" s="16" t="inlineStr"/>
      <c r="R65" s="16" t="inlineStr"/>
      <c r="S65" s="17">
        <f>IF(I65="NOT MET","Yes","No")</f>
        <v/>
      </c>
      <c r="T65" s="17" t="inlineStr"/>
      <c r="U65" s="17" t="inlineStr">
        <is>
          <t>32 CFR 170.24(c)(2) | Current eCFR</t>
        </is>
      </c>
      <c r="V65" s="17">
        <f>IF(I65="MET","Requirement assessed MET; no deduction.",IF(I65="NOT APPLICABLE","Requirement assessed NOT APPLICABLE; no deduction.",IF(I65="NOT ASSESSED","Requirement not assessed; score remains provisional.",IF(M65="Yes","Partial-credit condition applied; 3 points deducted.","Requirement assessed NOT MET; "&amp;L65&amp;" points deducted."))))</f>
        <v/>
      </c>
    </row>
    <row r="66">
      <c r="A66" s="15" t="inlineStr">
        <is>
          <t>MA</t>
        </is>
      </c>
      <c r="B66" s="15" t="inlineStr">
        <is>
          <t>MA.L2-3.7.4</t>
        </is>
      </c>
      <c r="C66" s="15" t="inlineStr">
        <is>
          <t>Media Inspection</t>
        </is>
      </c>
      <c r="D66" s="15" t="inlineStr">
        <is>
          <t>Check media containing diagnostic and test programs for malicious code before the media are used in organizational systems.</t>
        </is>
      </c>
      <c r="E66" s="15" t="n">
        <v>158</v>
      </c>
      <c r="F66" s="15" t="n">
        <v>159</v>
      </c>
      <c r="G66" s="16" t="inlineStr">
        <is>
          <t>Yes</t>
        </is>
      </c>
      <c r="H66" s="17" t="inlineStr">
        <is>
          <t>THREE_POINT</t>
        </is>
      </c>
      <c r="I66" s="16" t="inlineStr">
        <is>
          <t>NOT ASSESSED</t>
        </is>
      </c>
      <c r="J66" s="17" t="inlineStr"/>
      <c r="K66" s="17" t="inlineStr">
        <is>
          <t>No</t>
        </is>
      </c>
      <c r="L66" s="17" t="n">
        <v>3</v>
      </c>
      <c r="M66" s="17">
        <f>IF(AND(K66="Yes",I66="NOT MET",J66="PARTIALLY IMPLEMENTED"),"Yes","No")</f>
        <v/>
      </c>
      <c r="N66" s="17">
        <f>IF(OR(I66="MET",I66="NOT APPLICABLE",I66="NOT ASSESSED"),0,IF(AND(K66="Yes",J66="PARTIALLY IMPLEMENTED"),3,L66))</f>
        <v/>
      </c>
      <c r="O66" s="16" t="inlineStr">
        <is>
          <t>Not Started</t>
        </is>
      </c>
      <c r="P66" s="16" t="inlineStr"/>
      <c r="Q66" s="16" t="inlineStr"/>
      <c r="R66" s="16" t="inlineStr"/>
      <c r="S66" s="17">
        <f>IF(I66="NOT MET","Yes","No")</f>
        <v/>
      </c>
      <c r="T66" s="17" t="inlineStr"/>
      <c r="U66" s="17" t="inlineStr">
        <is>
          <t>32 CFR 170.24(c)(2) | Current eCFR</t>
        </is>
      </c>
      <c r="V66" s="17">
        <f>IF(I66="MET","Requirement assessed MET; no deduction.",IF(I66="NOT APPLICABLE","Requirement assessed NOT APPLICABLE; no deduction.",IF(I66="NOT ASSESSED","Requirement not assessed; score remains provisional.",IF(M66="Yes","Partial-credit condition applied; 3 points deducted.","Requirement assessed NOT MET; "&amp;L66&amp;" points deducted."))))</f>
        <v/>
      </c>
    </row>
    <row r="67">
      <c r="A67" s="15" t="inlineStr">
        <is>
          <t>MA</t>
        </is>
      </c>
      <c r="B67" s="15" t="inlineStr">
        <is>
          <t>MA.L2-3.7.5</t>
        </is>
      </c>
      <c r="C67" s="15" t="inlineStr">
        <is>
          <t>Nonlocal Maintenance</t>
        </is>
      </c>
      <c r="D67" s="15" t="inlineStr">
        <is>
          <t>Require multifactor authentication to establish nonlocal maintenance sessions via external network connections and terminate such connections when nonlocal maintenance is complete.</t>
        </is>
      </c>
      <c r="E67" s="15" t="n">
        <v>160</v>
      </c>
      <c r="F67" s="15" t="n">
        <v>162</v>
      </c>
      <c r="G67" s="16" t="inlineStr">
        <is>
          <t>Yes</t>
        </is>
      </c>
      <c r="H67" s="17" t="inlineStr">
        <is>
          <t>FIVE_POINT</t>
        </is>
      </c>
      <c r="I67" s="16" t="inlineStr">
        <is>
          <t>NOT ASSESSED</t>
        </is>
      </c>
      <c r="J67" s="17" t="inlineStr"/>
      <c r="K67" s="17" t="inlineStr">
        <is>
          <t>No</t>
        </is>
      </c>
      <c r="L67" s="17" t="n">
        <v>5</v>
      </c>
      <c r="M67" s="17">
        <f>IF(AND(K67="Yes",I67="NOT MET",J67="PARTIALLY IMPLEMENTED"),"Yes","No")</f>
        <v/>
      </c>
      <c r="N67" s="17">
        <f>IF(OR(I67="MET",I67="NOT APPLICABLE",I67="NOT ASSESSED"),0,IF(AND(K67="Yes",J67="PARTIALLY IMPLEMENTED"),3,L67))</f>
        <v/>
      </c>
      <c r="O67" s="16" t="inlineStr">
        <is>
          <t>Not Started</t>
        </is>
      </c>
      <c r="P67" s="16" t="inlineStr"/>
      <c r="Q67" s="16" t="inlineStr"/>
      <c r="R67" s="16" t="inlineStr"/>
      <c r="S67" s="17">
        <f>IF(I67="NOT MET","Yes","No")</f>
        <v/>
      </c>
      <c r="T67" s="17" t="inlineStr"/>
      <c r="U67" s="17" t="inlineStr">
        <is>
          <t>32 CFR 170.24(c)(2) | Current eCFR</t>
        </is>
      </c>
      <c r="V67" s="17">
        <f>IF(I67="MET","Requirement assessed MET; no deduction.",IF(I67="NOT APPLICABLE","Requirement assessed NOT APPLICABLE; no deduction.",IF(I67="NOT ASSESSED","Requirement not assessed; score remains provisional.",IF(M67="Yes","Partial-credit condition applied; 3 points deducted.","Requirement assessed NOT MET; "&amp;L67&amp;" points deducted."))))</f>
        <v/>
      </c>
    </row>
    <row r="68">
      <c r="A68" s="15" t="inlineStr">
        <is>
          <t>MA</t>
        </is>
      </c>
      <c r="B68" s="15" t="inlineStr">
        <is>
          <t>MA.L2-3.7.6</t>
        </is>
      </c>
      <c r="C68" s="15" t="inlineStr">
        <is>
          <t>Maintenance Personnel</t>
        </is>
      </c>
      <c r="D68" s="15" t="inlineStr">
        <is>
          <t>Supervise the maintenance activities of maintenance personnel without required access authorization.</t>
        </is>
      </c>
      <c r="E68" s="15" t="n">
        <v>163</v>
      </c>
      <c r="F68" s="15" t="n">
        <v>164</v>
      </c>
      <c r="G68" s="16" t="inlineStr">
        <is>
          <t>Yes</t>
        </is>
      </c>
      <c r="H68" s="17" t="inlineStr">
        <is>
          <t>ONE_POINT</t>
        </is>
      </c>
      <c r="I68" s="16" t="inlineStr">
        <is>
          <t>NOT ASSESSED</t>
        </is>
      </c>
      <c r="J68" s="17" t="inlineStr"/>
      <c r="K68" s="17" t="inlineStr">
        <is>
          <t>No</t>
        </is>
      </c>
      <c r="L68" s="17" t="n">
        <v>1</v>
      </c>
      <c r="M68" s="17">
        <f>IF(AND(K68="Yes",I68="NOT MET",J68="PARTIALLY IMPLEMENTED"),"Yes","No")</f>
        <v/>
      </c>
      <c r="N68" s="17">
        <f>IF(OR(I68="MET",I68="NOT APPLICABLE",I68="NOT ASSESSED"),0,IF(AND(K68="Yes",J68="PARTIALLY IMPLEMENTED"),3,L68))</f>
        <v/>
      </c>
      <c r="O68" s="16" t="inlineStr">
        <is>
          <t>Not Started</t>
        </is>
      </c>
      <c r="P68" s="16" t="inlineStr"/>
      <c r="Q68" s="16" t="inlineStr"/>
      <c r="R68" s="16" t="inlineStr"/>
      <c r="S68" s="17">
        <f>IF(I68="NOT MET","Yes","No")</f>
        <v/>
      </c>
      <c r="T68" s="17" t="inlineStr"/>
      <c r="U68" s="17" t="inlineStr">
        <is>
          <t>32 CFR 170.24(c)(2) | Current eCFR</t>
        </is>
      </c>
      <c r="V68" s="17">
        <f>IF(I68="MET","Requirement assessed MET; no deduction.",IF(I68="NOT APPLICABLE","Requirement assessed NOT APPLICABLE; no deduction.",IF(I68="NOT ASSESSED","Requirement not assessed; score remains provisional.",IF(M68="Yes","Partial-credit condition applied; 3 points deducted.","Requirement assessed NOT MET; "&amp;L68&amp;" points deducted."))))</f>
        <v/>
      </c>
    </row>
    <row r="69">
      <c r="A69" s="15" t="inlineStr">
        <is>
          <t>MP</t>
        </is>
      </c>
      <c r="B69" s="15" t="inlineStr">
        <is>
          <t>MP.L2-3.8.1</t>
        </is>
      </c>
      <c r="C69" s="15" t="inlineStr">
        <is>
          <t>Media Protection</t>
        </is>
      </c>
      <c r="D69" s="15" t="inlineStr">
        <is>
          <t>Protect (i.e., physically control and securely store) system media containing CUI, both paper and digital.</t>
        </is>
      </c>
      <c r="E69" s="15" t="n">
        <v>165</v>
      </c>
      <c r="F69" s="15" t="n">
        <v>166</v>
      </c>
      <c r="G69" s="16" t="inlineStr">
        <is>
          <t>Yes</t>
        </is>
      </c>
      <c r="H69" s="17" t="inlineStr">
        <is>
          <t>THREE_POINT</t>
        </is>
      </c>
      <c r="I69" s="16" t="inlineStr">
        <is>
          <t>NOT ASSESSED</t>
        </is>
      </c>
      <c r="J69" s="17" t="inlineStr"/>
      <c r="K69" s="17" t="inlineStr">
        <is>
          <t>No</t>
        </is>
      </c>
      <c r="L69" s="17" t="n">
        <v>3</v>
      </c>
      <c r="M69" s="17">
        <f>IF(AND(K69="Yes",I69="NOT MET",J69="PARTIALLY IMPLEMENTED"),"Yes","No")</f>
        <v/>
      </c>
      <c r="N69" s="17">
        <f>IF(OR(I69="MET",I69="NOT APPLICABLE",I69="NOT ASSESSED"),0,IF(AND(K69="Yes",J69="PARTIALLY IMPLEMENTED"),3,L69))</f>
        <v/>
      </c>
      <c r="O69" s="16" t="inlineStr">
        <is>
          <t>Not Started</t>
        </is>
      </c>
      <c r="P69" s="16" t="inlineStr"/>
      <c r="Q69" s="16" t="inlineStr"/>
      <c r="R69" s="16" t="inlineStr"/>
      <c r="S69" s="17">
        <f>IF(I69="NOT MET","Yes","No")</f>
        <v/>
      </c>
      <c r="T69" s="17" t="inlineStr"/>
      <c r="U69" s="17" t="inlineStr">
        <is>
          <t>32 CFR 170.24(c)(2) | Current eCFR</t>
        </is>
      </c>
      <c r="V69" s="17">
        <f>IF(I69="MET","Requirement assessed MET; no deduction.",IF(I69="NOT APPLICABLE","Requirement assessed NOT APPLICABLE; no deduction.",IF(I69="NOT ASSESSED","Requirement not assessed; score remains provisional.",IF(M69="Yes","Partial-credit condition applied; 3 points deducted.","Requirement assessed NOT MET; "&amp;L69&amp;" points deducted."))))</f>
        <v/>
      </c>
    </row>
    <row r="70">
      <c r="A70" s="15" t="inlineStr">
        <is>
          <t>MP</t>
        </is>
      </c>
      <c r="B70" s="15" t="inlineStr">
        <is>
          <t>MP.L2-3.8.2</t>
        </is>
      </c>
      <c r="C70" s="15" t="inlineStr">
        <is>
          <t>Media Access</t>
        </is>
      </c>
      <c r="D70" s="15" t="inlineStr">
        <is>
          <t>Limit access to CUI on system media to authorized users.</t>
        </is>
      </c>
      <c r="E70" s="15" t="n">
        <v>167</v>
      </c>
      <c r="F70" s="15" t="n">
        <v>168</v>
      </c>
      <c r="G70" s="16" t="inlineStr">
        <is>
          <t>Yes</t>
        </is>
      </c>
      <c r="H70" s="17" t="inlineStr">
        <is>
          <t>THREE_POINT</t>
        </is>
      </c>
      <c r="I70" s="16" t="inlineStr">
        <is>
          <t>NOT ASSESSED</t>
        </is>
      </c>
      <c r="J70" s="17" t="inlineStr"/>
      <c r="K70" s="17" t="inlineStr">
        <is>
          <t>No</t>
        </is>
      </c>
      <c r="L70" s="17" t="n">
        <v>3</v>
      </c>
      <c r="M70" s="17">
        <f>IF(AND(K70="Yes",I70="NOT MET",J70="PARTIALLY IMPLEMENTED"),"Yes","No")</f>
        <v/>
      </c>
      <c r="N70" s="17">
        <f>IF(OR(I70="MET",I70="NOT APPLICABLE",I70="NOT ASSESSED"),0,IF(AND(K70="Yes",J70="PARTIALLY IMPLEMENTED"),3,L70))</f>
        <v/>
      </c>
      <c r="O70" s="16" t="inlineStr">
        <is>
          <t>Not Started</t>
        </is>
      </c>
      <c r="P70" s="16" t="inlineStr"/>
      <c r="Q70" s="16" t="inlineStr"/>
      <c r="R70" s="16" t="inlineStr"/>
      <c r="S70" s="17">
        <f>IF(I70="NOT MET","Yes","No")</f>
        <v/>
      </c>
      <c r="T70" s="17" t="inlineStr"/>
      <c r="U70" s="17" t="inlineStr">
        <is>
          <t>32 CFR 170.24(c)(2) | Current eCFR</t>
        </is>
      </c>
      <c r="V70" s="17">
        <f>IF(I70="MET","Requirement assessed MET; no deduction.",IF(I70="NOT APPLICABLE","Requirement assessed NOT APPLICABLE; no deduction.",IF(I70="NOT ASSESSED","Requirement not assessed; score remains provisional.",IF(M70="Yes","Partial-credit condition applied; 3 points deducted.","Requirement assessed NOT MET; "&amp;L70&amp;" points deducted."))))</f>
        <v/>
      </c>
    </row>
    <row r="71">
      <c r="A71" s="15" t="inlineStr">
        <is>
          <t>MP</t>
        </is>
      </c>
      <c r="B71" s="15" t="inlineStr">
        <is>
          <t>MP.L2-3.8.3</t>
        </is>
      </c>
      <c r="C71" s="15" t="inlineStr">
        <is>
          <t>Media Disposal [CUI Data]</t>
        </is>
      </c>
      <c r="D71" s="15" t="inlineStr">
        <is>
          <t>Sanitize or destroy system media containing CUI before disposal or release for reuse.</t>
        </is>
      </c>
      <c r="E71" s="15" t="n">
        <v>169</v>
      </c>
      <c r="F71" s="15" t="n">
        <v>170</v>
      </c>
      <c r="G71" s="16" t="inlineStr">
        <is>
          <t>Yes</t>
        </is>
      </c>
      <c r="H71" s="17" t="inlineStr">
        <is>
          <t>FIVE_POINT</t>
        </is>
      </c>
      <c r="I71" s="16" t="inlineStr">
        <is>
          <t>NOT ASSESSED</t>
        </is>
      </c>
      <c r="J71" s="17" t="inlineStr"/>
      <c r="K71" s="17" t="inlineStr">
        <is>
          <t>No</t>
        </is>
      </c>
      <c r="L71" s="17" t="n">
        <v>5</v>
      </c>
      <c r="M71" s="17">
        <f>IF(AND(K71="Yes",I71="NOT MET",J71="PARTIALLY IMPLEMENTED"),"Yes","No")</f>
        <v/>
      </c>
      <c r="N71" s="17">
        <f>IF(OR(I71="MET",I71="NOT APPLICABLE",I71="NOT ASSESSED"),0,IF(AND(K71="Yes",J71="PARTIALLY IMPLEMENTED"),3,L71))</f>
        <v/>
      </c>
      <c r="O71" s="16" t="inlineStr">
        <is>
          <t>Not Started</t>
        </is>
      </c>
      <c r="P71" s="16" t="inlineStr"/>
      <c r="Q71" s="16" t="inlineStr"/>
      <c r="R71" s="16" t="inlineStr"/>
      <c r="S71" s="17">
        <f>IF(I71="NOT MET","Yes","No")</f>
        <v/>
      </c>
      <c r="T71" s="17" t="inlineStr"/>
      <c r="U71" s="17" t="inlineStr">
        <is>
          <t>32 CFR 170.24(c)(2) | Current eCFR</t>
        </is>
      </c>
      <c r="V71" s="17">
        <f>IF(I71="MET","Requirement assessed MET; no deduction.",IF(I71="NOT APPLICABLE","Requirement assessed NOT APPLICABLE; no deduction.",IF(I71="NOT ASSESSED","Requirement not assessed; score remains provisional.",IF(M71="Yes","Partial-credit condition applied; 3 points deducted.","Requirement assessed NOT MET; "&amp;L71&amp;" points deducted."))))</f>
        <v/>
      </c>
    </row>
    <row r="72">
      <c r="A72" s="15" t="inlineStr">
        <is>
          <t>MP</t>
        </is>
      </c>
      <c r="B72" s="15" t="inlineStr">
        <is>
          <t>MP.L2-3.8.4</t>
        </is>
      </c>
      <c r="C72" s="15" t="inlineStr">
        <is>
          <t>Media Markings</t>
        </is>
      </c>
      <c r="D72" s="15" t="inlineStr">
        <is>
          <t>Mark media with necessary CUI markings and distribution limitations.</t>
        </is>
      </c>
      <c r="E72" s="15" t="n">
        <v>171</v>
      </c>
      <c r="F72" s="15" t="n">
        <v>172</v>
      </c>
      <c r="G72" s="16" t="inlineStr">
        <is>
          <t>Yes</t>
        </is>
      </c>
      <c r="H72" s="17" t="inlineStr">
        <is>
          <t>ONE_POINT</t>
        </is>
      </c>
      <c r="I72" s="16" t="inlineStr">
        <is>
          <t>NOT ASSESSED</t>
        </is>
      </c>
      <c r="J72" s="17" t="inlineStr"/>
      <c r="K72" s="17" t="inlineStr">
        <is>
          <t>No</t>
        </is>
      </c>
      <c r="L72" s="17" t="n">
        <v>1</v>
      </c>
      <c r="M72" s="17">
        <f>IF(AND(K72="Yes",I72="NOT MET",J72="PARTIALLY IMPLEMENTED"),"Yes","No")</f>
        <v/>
      </c>
      <c r="N72" s="17">
        <f>IF(OR(I72="MET",I72="NOT APPLICABLE",I72="NOT ASSESSED"),0,IF(AND(K72="Yes",J72="PARTIALLY IMPLEMENTED"),3,L72))</f>
        <v/>
      </c>
      <c r="O72" s="16" t="inlineStr">
        <is>
          <t>Not Started</t>
        </is>
      </c>
      <c r="P72" s="16" t="inlineStr"/>
      <c r="Q72" s="16" t="inlineStr"/>
      <c r="R72" s="16" t="inlineStr"/>
      <c r="S72" s="17">
        <f>IF(I72="NOT MET","Yes","No")</f>
        <v/>
      </c>
      <c r="T72" s="17" t="inlineStr"/>
      <c r="U72" s="17" t="inlineStr">
        <is>
          <t>32 CFR 170.24(c)(2) | Current eCFR</t>
        </is>
      </c>
      <c r="V72" s="17">
        <f>IF(I72="MET","Requirement assessed MET; no deduction.",IF(I72="NOT APPLICABLE","Requirement assessed NOT APPLICABLE; no deduction.",IF(I72="NOT ASSESSED","Requirement not assessed; score remains provisional.",IF(M72="Yes","Partial-credit condition applied; 3 points deducted.","Requirement assessed NOT MET; "&amp;L72&amp;" points deducted."))))</f>
        <v/>
      </c>
    </row>
    <row r="73">
      <c r="A73" s="15" t="inlineStr">
        <is>
          <t>MP</t>
        </is>
      </c>
      <c r="B73" s="15" t="inlineStr">
        <is>
          <t>MP.L2-3.8.5</t>
        </is>
      </c>
      <c r="C73" s="15" t="inlineStr">
        <is>
          <t>Media Accountability</t>
        </is>
      </c>
      <c r="D73" s="15" t="inlineStr">
        <is>
          <t>Control access to media containing CUI and maintain accountability for media during transport outside of controlled areas.</t>
        </is>
      </c>
      <c r="E73" s="15" t="n">
        <v>173</v>
      </c>
      <c r="F73" s="15" t="n">
        <v>174</v>
      </c>
      <c r="G73" s="16" t="inlineStr">
        <is>
          <t>Yes</t>
        </is>
      </c>
      <c r="H73" s="17" t="inlineStr">
        <is>
          <t>ONE_POINT</t>
        </is>
      </c>
      <c r="I73" s="16" t="inlineStr">
        <is>
          <t>NOT ASSESSED</t>
        </is>
      </c>
      <c r="J73" s="17" t="inlineStr"/>
      <c r="K73" s="17" t="inlineStr">
        <is>
          <t>No</t>
        </is>
      </c>
      <c r="L73" s="17" t="n">
        <v>1</v>
      </c>
      <c r="M73" s="17">
        <f>IF(AND(K73="Yes",I73="NOT MET",J73="PARTIALLY IMPLEMENTED"),"Yes","No")</f>
        <v/>
      </c>
      <c r="N73" s="17">
        <f>IF(OR(I73="MET",I73="NOT APPLICABLE",I73="NOT ASSESSED"),0,IF(AND(K73="Yes",J73="PARTIALLY IMPLEMENTED"),3,L73))</f>
        <v/>
      </c>
      <c r="O73" s="16" t="inlineStr">
        <is>
          <t>Not Started</t>
        </is>
      </c>
      <c r="P73" s="16" t="inlineStr"/>
      <c r="Q73" s="16" t="inlineStr"/>
      <c r="R73" s="16" t="inlineStr"/>
      <c r="S73" s="17">
        <f>IF(I73="NOT MET","Yes","No")</f>
        <v/>
      </c>
      <c r="T73" s="17" t="inlineStr"/>
      <c r="U73" s="17" t="inlineStr">
        <is>
          <t>32 CFR 170.24(c)(2) | Current eCFR</t>
        </is>
      </c>
      <c r="V73" s="17">
        <f>IF(I73="MET","Requirement assessed MET; no deduction.",IF(I73="NOT APPLICABLE","Requirement assessed NOT APPLICABLE; no deduction.",IF(I73="NOT ASSESSED","Requirement not assessed; score remains provisional.",IF(M73="Yes","Partial-credit condition applied; 3 points deducted.","Requirement assessed NOT MET; "&amp;L73&amp;" points deducted."))))</f>
        <v/>
      </c>
    </row>
    <row r="74">
      <c r="A74" s="15" t="inlineStr">
        <is>
          <t>MP</t>
        </is>
      </c>
      <c r="B74" s="15" t="inlineStr">
        <is>
          <t>MP.L2-3.8.6</t>
        </is>
      </c>
      <c r="C74" s="15" t="inlineStr">
        <is>
          <t>Portable Storage Encryption</t>
        </is>
      </c>
      <c r="D74" s="15" t="inlineStr">
        <is>
          <t>Implement cryptographic mechanisms to protect the confidentiality of CUI stored on digital media during transport unless otherwise protected by alternative physical safeguards.</t>
        </is>
      </c>
      <c r="E74" s="15" t="n">
        <v>175</v>
      </c>
      <c r="F74" s="15" t="n">
        <v>176</v>
      </c>
      <c r="G74" s="16" t="inlineStr">
        <is>
          <t>Yes</t>
        </is>
      </c>
      <c r="H74" s="17" t="inlineStr">
        <is>
          <t>ONE_POINT</t>
        </is>
      </c>
      <c r="I74" s="16" t="inlineStr">
        <is>
          <t>NOT ASSESSED</t>
        </is>
      </c>
      <c r="J74" s="17" t="inlineStr"/>
      <c r="K74" s="17" t="inlineStr">
        <is>
          <t>No</t>
        </is>
      </c>
      <c r="L74" s="17" t="n">
        <v>1</v>
      </c>
      <c r="M74" s="17">
        <f>IF(AND(K74="Yes",I74="NOT MET",J74="PARTIALLY IMPLEMENTED"),"Yes","No")</f>
        <v/>
      </c>
      <c r="N74" s="17">
        <f>IF(OR(I74="MET",I74="NOT APPLICABLE",I74="NOT ASSESSED"),0,IF(AND(K74="Yes",J74="PARTIALLY IMPLEMENTED"),3,L74))</f>
        <v/>
      </c>
      <c r="O74" s="16" t="inlineStr">
        <is>
          <t>Not Started</t>
        </is>
      </c>
      <c r="P74" s="16" t="inlineStr"/>
      <c r="Q74" s="16" t="inlineStr"/>
      <c r="R74" s="16" t="inlineStr"/>
      <c r="S74" s="17">
        <f>IF(I74="NOT MET","Yes","No")</f>
        <v/>
      </c>
      <c r="T74" s="17" t="inlineStr"/>
      <c r="U74" s="17" t="inlineStr">
        <is>
          <t>32 CFR 170.24(c)(2) | Current eCFR</t>
        </is>
      </c>
      <c r="V74" s="17">
        <f>IF(I74="MET","Requirement assessed MET; no deduction.",IF(I74="NOT APPLICABLE","Requirement assessed NOT APPLICABLE; no deduction.",IF(I74="NOT ASSESSED","Requirement not assessed; score remains provisional.",IF(M74="Yes","Partial-credit condition applied; 3 points deducted.","Requirement assessed NOT MET; "&amp;L74&amp;" points deducted."))))</f>
        <v/>
      </c>
    </row>
    <row r="75">
      <c r="A75" s="15" t="inlineStr">
        <is>
          <t>MP</t>
        </is>
      </c>
      <c r="B75" s="15" t="inlineStr">
        <is>
          <t>MP.L2-3.8.7</t>
        </is>
      </c>
      <c r="C75" s="15" t="inlineStr">
        <is>
          <t>Removeable Media</t>
        </is>
      </c>
      <c r="D75" s="15" t="inlineStr">
        <is>
          <t>Control the use of removable media on system components.</t>
        </is>
      </c>
      <c r="E75" s="15" t="n">
        <v>177</v>
      </c>
      <c r="F75" s="15" t="n">
        <v>178</v>
      </c>
      <c r="G75" s="16" t="inlineStr">
        <is>
          <t>Yes</t>
        </is>
      </c>
      <c r="H75" s="17" t="inlineStr">
        <is>
          <t>FIVE_POINT</t>
        </is>
      </c>
      <c r="I75" s="16" t="inlineStr">
        <is>
          <t>NOT ASSESSED</t>
        </is>
      </c>
      <c r="J75" s="17" t="inlineStr"/>
      <c r="K75" s="17" t="inlineStr">
        <is>
          <t>No</t>
        </is>
      </c>
      <c r="L75" s="17" t="n">
        <v>5</v>
      </c>
      <c r="M75" s="17">
        <f>IF(AND(K75="Yes",I75="NOT MET",J75="PARTIALLY IMPLEMENTED"),"Yes","No")</f>
        <v/>
      </c>
      <c r="N75" s="17">
        <f>IF(OR(I75="MET",I75="NOT APPLICABLE",I75="NOT ASSESSED"),0,IF(AND(K75="Yes",J75="PARTIALLY IMPLEMENTED"),3,L75))</f>
        <v/>
      </c>
      <c r="O75" s="16" t="inlineStr">
        <is>
          <t>Not Started</t>
        </is>
      </c>
      <c r="P75" s="16" t="inlineStr"/>
      <c r="Q75" s="16" t="inlineStr"/>
      <c r="R75" s="16" t="inlineStr"/>
      <c r="S75" s="17">
        <f>IF(I75="NOT MET","Yes","No")</f>
        <v/>
      </c>
      <c r="T75" s="17" t="inlineStr"/>
      <c r="U75" s="17" t="inlineStr">
        <is>
          <t>32 CFR 170.24(c)(2) | Current eCFR</t>
        </is>
      </c>
      <c r="V75" s="17">
        <f>IF(I75="MET","Requirement assessed MET; no deduction.",IF(I75="NOT APPLICABLE","Requirement assessed NOT APPLICABLE; no deduction.",IF(I75="NOT ASSESSED","Requirement not assessed; score remains provisional.",IF(M75="Yes","Partial-credit condition applied; 3 points deducted.","Requirement assessed NOT MET; "&amp;L75&amp;" points deducted."))))</f>
        <v/>
      </c>
    </row>
    <row r="76">
      <c r="A76" s="15" t="inlineStr">
        <is>
          <t>MP</t>
        </is>
      </c>
      <c r="B76" s="15" t="inlineStr">
        <is>
          <t>MP.L2-3.8.8</t>
        </is>
      </c>
      <c r="C76" s="15" t="inlineStr">
        <is>
          <t>Shared Media</t>
        </is>
      </c>
      <c r="D76" s="15" t="inlineStr">
        <is>
          <t>Prohibit the use of portable storage devices when such devices have no identifiable owner.</t>
        </is>
      </c>
      <c r="E76" s="15" t="n">
        <v>179</v>
      </c>
      <c r="F76" s="15" t="n">
        <v>180</v>
      </c>
      <c r="G76" s="16" t="inlineStr">
        <is>
          <t>Yes</t>
        </is>
      </c>
      <c r="H76" s="17" t="inlineStr">
        <is>
          <t>THREE_POINT</t>
        </is>
      </c>
      <c r="I76" s="16" t="inlineStr">
        <is>
          <t>NOT ASSESSED</t>
        </is>
      </c>
      <c r="J76" s="17" t="inlineStr"/>
      <c r="K76" s="17" t="inlineStr">
        <is>
          <t>No</t>
        </is>
      </c>
      <c r="L76" s="17" t="n">
        <v>3</v>
      </c>
      <c r="M76" s="17">
        <f>IF(AND(K76="Yes",I76="NOT MET",J76="PARTIALLY IMPLEMENTED"),"Yes","No")</f>
        <v/>
      </c>
      <c r="N76" s="17">
        <f>IF(OR(I76="MET",I76="NOT APPLICABLE",I76="NOT ASSESSED"),0,IF(AND(K76="Yes",J76="PARTIALLY IMPLEMENTED"),3,L76))</f>
        <v/>
      </c>
      <c r="O76" s="16" t="inlineStr">
        <is>
          <t>Not Started</t>
        </is>
      </c>
      <c r="P76" s="16" t="inlineStr"/>
      <c r="Q76" s="16" t="inlineStr"/>
      <c r="R76" s="16" t="inlineStr"/>
      <c r="S76" s="17">
        <f>IF(I76="NOT MET","Yes","No")</f>
        <v/>
      </c>
      <c r="T76" s="17" t="inlineStr"/>
      <c r="U76" s="17" t="inlineStr">
        <is>
          <t>32 CFR 170.24(c)(2) | Current eCFR</t>
        </is>
      </c>
      <c r="V76" s="17">
        <f>IF(I76="MET","Requirement assessed MET; no deduction.",IF(I76="NOT APPLICABLE","Requirement assessed NOT APPLICABLE; no deduction.",IF(I76="NOT ASSESSED","Requirement not assessed; score remains provisional.",IF(M76="Yes","Partial-credit condition applied; 3 points deducted.","Requirement assessed NOT MET; "&amp;L76&amp;" points deducted."))))</f>
        <v/>
      </c>
    </row>
    <row r="77">
      <c r="A77" s="15" t="inlineStr">
        <is>
          <t>MP</t>
        </is>
      </c>
      <c r="B77" s="15" t="inlineStr">
        <is>
          <t>MP.L2-3.8.9</t>
        </is>
      </c>
      <c r="C77" s="15" t="inlineStr">
        <is>
          <t>Protect Backups</t>
        </is>
      </c>
      <c r="D77" s="15" t="inlineStr">
        <is>
          <t>Protect the confidentiality of backup CUI at storage locations.</t>
        </is>
      </c>
      <c r="E77" s="15" t="n">
        <v>181</v>
      </c>
      <c r="F77" s="15" t="n">
        <v>182</v>
      </c>
      <c r="G77" s="16" t="inlineStr">
        <is>
          <t>Yes</t>
        </is>
      </c>
      <c r="H77" s="17" t="inlineStr">
        <is>
          <t>ONE_POINT</t>
        </is>
      </c>
      <c r="I77" s="16" t="inlineStr">
        <is>
          <t>NOT ASSESSED</t>
        </is>
      </c>
      <c r="J77" s="17" t="inlineStr"/>
      <c r="K77" s="17" t="inlineStr">
        <is>
          <t>No</t>
        </is>
      </c>
      <c r="L77" s="17" t="n">
        <v>1</v>
      </c>
      <c r="M77" s="17">
        <f>IF(AND(K77="Yes",I77="NOT MET",J77="PARTIALLY IMPLEMENTED"),"Yes","No")</f>
        <v/>
      </c>
      <c r="N77" s="17">
        <f>IF(OR(I77="MET",I77="NOT APPLICABLE",I77="NOT ASSESSED"),0,IF(AND(K77="Yes",J77="PARTIALLY IMPLEMENTED"),3,L77))</f>
        <v/>
      </c>
      <c r="O77" s="16" t="inlineStr">
        <is>
          <t>Not Started</t>
        </is>
      </c>
      <c r="P77" s="16" t="inlineStr"/>
      <c r="Q77" s="16" t="inlineStr"/>
      <c r="R77" s="16" t="inlineStr"/>
      <c r="S77" s="17">
        <f>IF(I77="NOT MET","Yes","No")</f>
        <v/>
      </c>
      <c r="T77" s="17" t="inlineStr"/>
      <c r="U77" s="17" t="inlineStr">
        <is>
          <t>32 CFR 170.24(c)(2) | Current eCFR</t>
        </is>
      </c>
      <c r="V77" s="17">
        <f>IF(I77="MET","Requirement assessed MET; no deduction.",IF(I77="NOT APPLICABLE","Requirement assessed NOT APPLICABLE; no deduction.",IF(I77="NOT ASSESSED","Requirement not assessed; score remains provisional.",IF(M77="Yes","Partial-credit condition applied; 3 points deducted.","Requirement assessed NOT MET; "&amp;L77&amp;" points deducted."))))</f>
        <v/>
      </c>
    </row>
    <row r="78">
      <c r="A78" s="15" t="inlineStr">
        <is>
          <t>PS</t>
        </is>
      </c>
      <c r="B78" s="15" t="inlineStr">
        <is>
          <t>PS.L2-3.9.1</t>
        </is>
      </c>
      <c r="C78" s="15" t="inlineStr">
        <is>
          <t>Screen Individuals</t>
        </is>
      </c>
      <c r="D78" s="15" t="inlineStr">
        <is>
          <t>Screen individuals prior to authorizing access to organizational systems containing CUI.</t>
        </is>
      </c>
      <c r="E78" s="15" t="n">
        <v>183</v>
      </c>
      <c r="F78" s="15" t="n">
        <v>184</v>
      </c>
      <c r="G78" s="16" t="inlineStr">
        <is>
          <t>Yes</t>
        </is>
      </c>
      <c r="H78" s="17" t="inlineStr">
        <is>
          <t>THREE_POINT</t>
        </is>
      </c>
      <c r="I78" s="16" t="inlineStr">
        <is>
          <t>NOT ASSESSED</t>
        </is>
      </c>
      <c r="J78" s="17" t="inlineStr"/>
      <c r="K78" s="17" t="inlineStr">
        <is>
          <t>No</t>
        </is>
      </c>
      <c r="L78" s="17" t="n">
        <v>3</v>
      </c>
      <c r="M78" s="17">
        <f>IF(AND(K78="Yes",I78="NOT MET",J78="PARTIALLY IMPLEMENTED"),"Yes","No")</f>
        <v/>
      </c>
      <c r="N78" s="17">
        <f>IF(OR(I78="MET",I78="NOT APPLICABLE",I78="NOT ASSESSED"),0,IF(AND(K78="Yes",J78="PARTIALLY IMPLEMENTED"),3,L78))</f>
        <v/>
      </c>
      <c r="O78" s="16" t="inlineStr">
        <is>
          <t>Not Started</t>
        </is>
      </c>
      <c r="P78" s="16" t="inlineStr"/>
      <c r="Q78" s="16" t="inlineStr"/>
      <c r="R78" s="16" t="inlineStr"/>
      <c r="S78" s="17">
        <f>IF(I78="NOT MET","Yes","No")</f>
        <v/>
      </c>
      <c r="T78" s="17" t="inlineStr"/>
      <c r="U78" s="17" t="inlineStr">
        <is>
          <t>32 CFR 170.24(c)(2) | Current eCFR</t>
        </is>
      </c>
      <c r="V78" s="17">
        <f>IF(I78="MET","Requirement assessed MET; no deduction.",IF(I78="NOT APPLICABLE","Requirement assessed NOT APPLICABLE; no deduction.",IF(I78="NOT ASSESSED","Requirement not assessed; score remains provisional.",IF(M78="Yes","Partial-credit condition applied; 3 points deducted.","Requirement assessed NOT MET; "&amp;L78&amp;" points deducted."))))</f>
        <v/>
      </c>
    </row>
    <row r="79">
      <c r="A79" s="15" t="inlineStr">
        <is>
          <t>PS</t>
        </is>
      </c>
      <c r="B79" s="15" t="inlineStr">
        <is>
          <t>PS.L2-3.9.2</t>
        </is>
      </c>
      <c r="C79" s="15" t="inlineStr">
        <is>
          <t>Personnel Actions</t>
        </is>
      </c>
      <c r="D79" s="15" t="inlineStr">
        <is>
          <t>Ensure that organizational systems containing CUI are protected during and after personnel actions such as terminations and transfers.</t>
        </is>
      </c>
      <c r="E79" s="15" t="n">
        <v>185</v>
      </c>
      <c r="F79" s="15" t="n">
        <v>187</v>
      </c>
      <c r="G79" s="16" t="inlineStr">
        <is>
          <t>Yes</t>
        </is>
      </c>
      <c r="H79" s="17" t="inlineStr">
        <is>
          <t>FIVE_POINT</t>
        </is>
      </c>
      <c r="I79" s="16" t="inlineStr">
        <is>
          <t>NOT ASSESSED</t>
        </is>
      </c>
      <c r="J79" s="17" t="inlineStr"/>
      <c r="K79" s="17" t="inlineStr">
        <is>
          <t>No</t>
        </is>
      </c>
      <c r="L79" s="17" t="n">
        <v>5</v>
      </c>
      <c r="M79" s="17">
        <f>IF(AND(K79="Yes",I79="NOT MET",J79="PARTIALLY IMPLEMENTED"),"Yes","No")</f>
        <v/>
      </c>
      <c r="N79" s="17">
        <f>IF(OR(I79="MET",I79="NOT APPLICABLE",I79="NOT ASSESSED"),0,IF(AND(K79="Yes",J79="PARTIALLY IMPLEMENTED"),3,L79))</f>
        <v/>
      </c>
      <c r="O79" s="16" t="inlineStr">
        <is>
          <t>Not Started</t>
        </is>
      </c>
      <c r="P79" s="16" t="inlineStr"/>
      <c r="Q79" s="16" t="inlineStr"/>
      <c r="R79" s="16" t="inlineStr"/>
      <c r="S79" s="17">
        <f>IF(I79="NOT MET","Yes","No")</f>
        <v/>
      </c>
      <c r="T79" s="17" t="inlineStr"/>
      <c r="U79" s="17" t="inlineStr">
        <is>
          <t>32 CFR 170.24(c)(2) | Current eCFR</t>
        </is>
      </c>
      <c r="V79" s="17">
        <f>IF(I79="MET","Requirement assessed MET; no deduction.",IF(I79="NOT APPLICABLE","Requirement assessed NOT APPLICABLE; no deduction.",IF(I79="NOT ASSESSED","Requirement not assessed; score remains provisional.",IF(M79="Yes","Partial-credit condition applied; 3 points deducted.","Requirement assessed NOT MET; "&amp;L79&amp;" points deducted."))))</f>
        <v/>
      </c>
    </row>
    <row r="80">
      <c r="A80" s="15" t="inlineStr">
        <is>
          <t>PE</t>
        </is>
      </c>
      <c r="B80" s="15" t="inlineStr">
        <is>
          <t>PE.L2-3.10.1</t>
        </is>
      </c>
      <c r="C80" s="15" t="inlineStr">
        <is>
          <t>Limit Physical Access [CUI Data]</t>
        </is>
      </c>
      <c r="D80" s="15" t="inlineStr">
        <is>
          <t>Limit physical access to organizational systems, equipment, and the respective operating environments to authorized individuals.</t>
        </is>
      </c>
      <c r="E80" s="15" t="n">
        <v>188</v>
      </c>
      <c r="F80" s="15" t="n">
        <v>189</v>
      </c>
      <c r="G80" s="16" t="inlineStr">
        <is>
          <t>Yes</t>
        </is>
      </c>
      <c r="H80" s="17" t="inlineStr">
        <is>
          <t>FIVE_POINT</t>
        </is>
      </c>
      <c r="I80" s="16" t="inlineStr">
        <is>
          <t>NOT ASSESSED</t>
        </is>
      </c>
      <c r="J80" s="17" t="inlineStr"/>
      <c r="K80" s="17" t="inlineStr">
        <is>
          <t>No</t>
        </is>
      </c>
      <c r="L80" s="17" t="n">
        <v>5</v>
      </c>
      <c r="M80" s="17">
        <f>IF(AND(K80="Yes",I80="NOT MET",J80="PARTIALLY IMPLEMENTED"),"Yes","No")</f>
        <v/>
      </c>
      <c r="N80" s="17">
        <f>IF(OR(I80="MET",I80="NOT APPLICABLE",I80="NOT ASSESSED"),0,IF(AND(K80="Yes",J80="PARTIALLY IMPLEMENTED"),3,L80))</f>
        <v/>
      </c>
      <c r="O80" s="16" t="inlineStr">
        <is>
          <t>Not Started</t>
        </is>
      </c>
      <c r="P80" s="16" t="inlineStr"/>
      <c r="Q80" s="16" t="inlineStr"/>
      <c r="R80" s="16" t="inlineStr"/>
      <c r="S80" s="17">
        <f>IF(I80="NOT MET","Yes","No")</f>
        <v/>
      </c>
      <c r="T80" s="17" t="inlineStr"/>
      <c r="U80" s="17" t="inlineStr">
        <is>
          <t>32 CFR 170.24(c)(2) | Current eCFR</t>
        </is>
      </c>
      <c r="V80" s="17">
        <f>IF(I80="MET","Requirement assessed MET; no deduction.",IF(I80="NOT APPLICABLE","Requirement assessed NOT APPLICABLE; no deduction.",IF(I80="NOT ASSESSED","Requirement not assessed; score remains provisional.",IF(M80="Yes","Partial-credit condition applied; 3 points deducted.","Requirement assessed NOT MET; "&amp;L80&amp;" points deducted."))))</f>
        <v/>
      </c>
    </row>
    <row r="81">
      <c r="A81" s="15" t="inlineStr">
        <is>
          <t>PE</t>
        </is>
      </c>
      <c r="B81" s="15" t="inlineStr">
        <is>
          <t>PE.L2-3.10.2</t>
        </is>
      </c>
      <c r="C81" s="15" t="inlineStr">
        <is>
          <t>Monitor Facility</t>
        </is>
      </c>
      <c r="D81" s="15" t="inlineStr">
        <is>
          <t>Protect and monitor the physical facility and support infrastructure for organizational systems.</t>
        </is>
      </c>
      <c r="E81" s="15" t="n">
        <v>190</v>
      </c>
      <c r="F81" s="15" t="n">
        <v>191</v>
      </c>
      <c r="G81" s="16" t="inlineStr">
        <is>
          <t>Yes</t>
        </is>
      </c>
      <c r="H81" s="17" t="inlineStr">
        <is>
          <t>FIVE_POINT</t>
        </is>
      </c>
      <c r="I81" s="16" t="inlineStr">
        <is>
          <t>NOT ASSESSED</t>
        </is>
      </c>
      <c r="J81" s="17" t="inlineStr"/>
      <c r="K81" s="17" t="inlineStr">
        <is>
          <t>No</t>
        </is>
      </c>
      <c r="L81" s="17" t="n">
        <v>5</v>
      </c>
      <c r="M81" s="17">
        <f>IF(AND(K81="Yes",I81="NOT MET",J81="PARTIALLY IMPLEMENTED"),"Yes","No")</f>
        <v/>
      </c>
      <c r="N81" s="17">
        <f>IF(OR(I81="MET",I81="NOT APPLICABLE",I81="NOT ASSESSED"),0,IF(AND(K81="Yes",J81="PARTIALLY IMPLEMENTED"),3,L81))</f>
        <v/>
      </c>
      <c r="O81" s="16" t="inlineStr">
        <is>
          <t>Not Started</t>
        </is>
      </c>
      <c r="P81" s="16" t="inlineStr"/>
      <c r="Q81" s="16" t="inlineStr"/>
      <c r="R81" s="16" t="inlineStr"/>
      <c r="S81" s="17">
        <f>IF(I81="NOT MET","Yes","No")</f>
        <v/>
      </c>
      <c r="T81" s="17" t="inlineStr"/>
      <c r="U81" s="17" t="inlineStr">
        <is>
          <t>32 CFR 170.24(c)(2) | Current eCFR</t>
        </is>
      </c>
      <c r="V81" s="17">
        <f>IF(I81="MET","Requirement assessed MET; no deduction.",IF(I81="NOT APPLICABLE","Requirement assessed NOT APPLICABLE; no deduction.",IF(I81="NOT ASSESSED","Requirement not assessed; score remains provisional.",IF(M81="Yes","Partial-credit condition applied; 3 points deducted.","Requirement assessed NOT MET; "&amp;L81&amp;" points deducted."))))</f>
        <v/>
      </c>
    </row>
    <row r="82">
      <c r="A82" s="15" t="inlineStr">
        <is>
          <t>PE</t>
        </is>
      </c>
      <c r="B82" s="15" t="inlineStr">
        <is>
          <t>PE.L2-3.10.3</t>
        </is>
      </c>
      <c r="C82" s="15" t="inlineStr">
        <is>
          <t>Escort Visitors [CUI Data]</t>
        </is>
      </c>
      <c r="D82" s="15" t="inlineStr">
        <is>
          <t>Escort visitors and monitor visitor activity.</t>
        </is>
      </c>
      <c r="E82" s="15" t="n">
        <v>192</v>
      </c>
      <c r="F82" s="15" t="n">
        <v>193</v>
      </c>
      <c r="G82" s="16" t="inlineStr">
        <is>
          <t>Yes</t>
        </is>
      </c>
      <c r="H82" s="17" t="inlineStr">
        <is>
          <t>ONE_POINT</t>
        </is>
      </c>
      <c r="I82" s="16" t="inlineStr">
        <is>
          <t>NOT ASSESSED</t>
        </is>
      </c>
      <c r="J82" s="17" t="inlineStr"/>
      <c r="K82" s="17" t="inlineStr">
        <is>
          <t>No</t>
        </is>
      </c>
      <c r="L82" s="17" t="n">
        <v>1</v>
      </c>
      <c r="M82" s="17">
        <f>IF(AND(K82="Yes",I82="NOT MET",J82="PARTIALLY IMPLEMENTED"),"Yes","No")</f>
        <v/>
      </c>
      <c r="N82" s="17">
        <f>IF(OR(I82="MET",I82="NOT APPLICABLE",I82="NOT ASSESSED"),0,IF(AND(K82="Yes",J82="PARTIALLY IMPLEMENTED"),3,L82))</f>
        <v/>
      </c>
      <c r="O82" s="16" t="inlineStr">
        <is>
          <t>Not Started</t>
        </is>
      </c>
      <c r="P82" s="16" t="inlineStr"/>
      <c r="Q82" s="16" t="inlineStr"/>
      <c r="R82" s="16" t="inlineStr"/>
      <c r="S82" s="17">
        <f>IF(I82="NOT MET","Yes","No")</f>
        <v/>
      </c>
      <c r="T82" s="17" t="inlineStr"/>
      <c r="U82" s="17" t="inlineStr">
        <is>
          <t>32 CFR 170.24(c)(2) | Current eCFR</t>
        </is>
      </c>
      <c r="V82" s="17">
        <f>IF(I82="MET","Requirement assessed MET; no deduction.",IF(I82="NOT APPLICABLE","Requirement assessed NOT APPLICABLE; no deduction.",IF(I82="NOT ASSESSED","Requirement not assessed; score remains provisional.",IF(M82="Yes","Partial-credit condition applied; 3 points deducted.","Requirement assessed NOT MET; "&amp;L82&amp;" points deducted."))))</f>
        <v/>
      </c>
    </row>
    <row r="83">
      <c r="A83" s="15" t="inlineStr">
        <is>
          <t>PE</t>
        </is>
      </c>
      <c r="B83" s="15" t="inlineStr">
        <is>
          <t>PE.L2-3.10.4</t>
        </is>
      </c>
      <c r="C83" s="15" t="inlineStr">
        <is>
          <t>Physical Access Logs [CUI Data]</t>
        </is>
      </c>
      <c r="D83" s="15" t="inlineStr">
        <is>
          <t>Maintain audit logs of physical access.</t>
        </is>
      </c>
      <c r="E83" s="15" t="n">
        <v>194</v>
      </c>
      <c r="F83" s="15" t="n">
        <v>195</v>
      </c>
      <c r="G83" s="16" t="inlineStr">
        <is>
          <t>Yes</t>
        </is>
      </c>
      <c r="H83" s="17" t="inlineStr">
        <is>
          <t>ONE_POINT</t>
        </is>
      </c>
      <c r="I83" s="16" t="inlineStr">
        <is>
          <t>NOT ASSESSED</t>
        </is>
      </c>
      <c r="J83" s="17" t="inlineStr"/>
      <c r="K83" s="17" t="inlineStr">
        <is>
          <t>No</t>
        </is>
      </c>
      <c r="L83" s="17" t="n">
        <v>1</v>
      </c>
      <c r="M83" s="17">
        <f>IF(AND(K83="Yes",I83="NOT MET",J83="PARTIALLY IMPLEMENTED"),"Yes","No")</f>
        <v/>
      </c>
      <c r="N83" s="17">
        <f>IF(OR(I83="MET",I83="NOT APPLICABLE",I83="NOT ASSESSED"),0,IF(AND(K83="Yes",J83="PARTIALLY IMPLEMENTED"),3,L83))</f>
        <v/>
      </c>
      <c r="O83" s="16" t="inlineStr">
        <is>
          <t>Not Started</t>
        </is>
      </c>
      <c r="P83" s="16" t="inlineStr"/>
      <c r="Q83" s="16" t="inlineStr"/>
      <c r="R83" s="16" t="inlineStr"/>
      <c r="S83" s="17">
        <f>IF(I83="NOT MET","Yes","No")</f>
        <v/>
      </c>
      <c r="T83" s="17" t="inlineStr"/>
      <c r="U83" s="17" t="inlineStr">
        <is>
          <t>32 CFR 170.24(c)(2) | Current eCFR</t>
        </is>
      </c>
      <c r="V83" s="17">
        <f>IF(I83="MET","Requirement assessed MET; no deduction.",IF(I83="NOT APPLICABLE","Requirement assessed NOT APPLICABLE; no deduction.",IF(I83="NOT ASSESSED","Requirement not assessed; score remains provisional.",IF(M83="Yes","Partial-credit condition applied; 3 points deducted.","Requirement assessed NOT MET; "&amp;L83&amp;" points deducted."))))</f>
        <v/>
      </c>
    </row>
    <row r="84">
      <c r="A84" s="15" t="inlineStr">
        <is>
          <t>PE</t>
        </is>
      </c>
      <c r="B84" s="15" t="inlineStr">
        <is>
          <t>PE.L2-3.10.5</t>
        </is>
      </c>
      <c r="C84" s="15" t="inlineStr">
        <is>
          <t>Manage Physical Access [CUI Data]</t>
        </is>
      </c>
      <c r="D84" s="15" t="inlineStr">
        <is>
          <t>Control and manage physical access devices.</t>
        </is>
      </c>
      <c r="E84" s="15" t="n">
        <v>196</v>
      </c>
      <c r="F84" s="15" t="n">
        <v>197</v>
      </c>
      <c r="G84" s="16" t="inlineStr">
        <is>
          <t>Yes</t>
        </is>
      </c>
      <c r="H84" s="17" t="inlineStr">
        <is>
          <t>ONE_POINT</t>
        </is>
      </c>
      <c r="I84" s="16" t="inlineStr">
        <is>
          <t>NOT ASSESSED</t>
        </is>
      </c>
      <c r="J84" s="17" t="inlineStr"/>
      <c r="K84" s="17" t="inlineStr">
        <is>
          <t>No</t>
        </is>
      </c>
      <c r="L84" s="17" t="n">
        <v>1</v>
      </c>
      <c r="M84" s="17">
        <f>IF(AND(K84="Yes",I84="NOT MET",J84="PARTIALLY IMPLEMENTED"),"Yes","No")</f>
        <v/>
      </c>
      <c r="N84" s="17">
        <f>IF(OR(I84="MET",I84="NOT APPLICABLE",I84="NOT ASSESSED"),0,IF(AND(K84="Yes",J84="PARTIALLY IMPLEMENTED"),3,L84))</f>
        <v/>
      </c>
      <c r="O84" s="16" t="inlineStr">
        <is>
          <t>Not Started</t>
        </is>
      </c>
      <c r="P84" s="16" t="inlineStr"/>
      <c r="Q84" s="16" t="inlineStr"/>
      <c r="R84" s="16" t="inlineStr"/>
      <c r="S84" s="17">
        <f>IF(I84="NOT MET","Yes","No")</f>
        <v/>
      </c>
      <c r="T84" s="17" t="inlineStr"/>
      <c r="U84" s="17" t="inlineStr">
        <is>
          <t>32 CFR 170.24(c)(2) | Current eCFR</t>
        </is>
      </c>
      <c r="V84" s="17">
        <f>IF(I84="MET","Requirement assessed MET; no deduction.",IF(I84="NOT APPLICABLE","Requirement assessed NOT APPLICABLE; no deduction.",IF(I84="NOT ASSESSED","Requirement not assessed; score remains provisional.",IF(M84="Yes","Partial-credit condition applied; 3 points deducted.","Requirement assessed NOT MET; "&amp;L84&amp;" points deducted."))))</f>
        <v/>
      </c>
    </row>
    <row r="85">
      <c r="A85" s="15" t="inlineStr">
        <is>
          <t>PE</t>
        </is>
      </c>
      <c r="B85" s="15" t="inlineStr">
        <is>
          <t>PE.L2-3.10.6</t>
        </is>
      </c>
      <c r="C85" s="15" t="inlineStr">
        <is>
          <t>Alternative Work Sites</t>
        </is>
      </c>
      <c r="D85" s="15" t="inlineStr">
        <is>
          <t>Enforce safeguarding measures for CUI at alternate work sites.</t>
        </is>
      </c>
      <c r="E85" s="15" t="n">
        <v>198</v>
      </c>
      <c r="F85" s="15" t="n">
        <v>199</v>
      </c>
      <c r="G85" s="16" t="inlineStr">
        <is>
          <t>Yes</t>
        </is>
      </c>
      <c r="H85" s="17" t="inlineStr">
        <is>
          <t>ONE_POINT</t>
        </is>
      </c>
      <c r="I85" s="16" t="inlineStr">
        <is>
          <t>NOT ASSESSED</t>
        </is>
      </c>
      <c r="J85" s="17" t="inlineStr"/>
      <c r="K85" s="17" t="inlineStr">
        <is>
          <t>No</t>
        </is>
      </c>
      <c r="L85" s="17" t="n">
        <v>1</v>
      </c>
      <c r="M85" s="17">
        <f>IF(AND(K85="Yes",I85="NOT MET",J85="PARTIALLY IMPLEMENTED"),"Yes","No")</f>
        <v/>
      </c>
      <c r="N85" s="17">
        <f>IF(OR(I85="MET",I85="NOT APPLICABLE",I85="NOT ASSESSED"),0,IF(AND(K85="Yes",J85="PARTIALLY IMPLEMENTED"),3,L85))</f>
        <v/>
      </c>
      <c r="O85" s="16" t="inlineStr">
        <is>
          <t>Not Started</t>
        </is>
      </c>
      <c r="P85" s="16" t="inlineStr"/>
      <c r="Q85" s="16" t="inlineStr"/>
      <c r="R85" s="16" t="inlineStr"/>
      <c r="S85" s="17">
        <f>IF(I85="NOT MET","Yes","No")</f>
        <v/>
      </c>
      <c r="T85" s="17" t="inlineStr"/>
      <c r="U85" s="17" t="inlineStr">
        <is>
          <t>32 CFR 170.24(c)(2) | Current eCFR</t>
        </is>
      </c>
      <c r="V85" s="17">
        <f>IF(I85="MET","Requirement assessed MET; no deduction.",IF(I85="NOT APPLICABLE","Requirement assessed NOT APPLICABLE; no deduction.",IF(I85="NOT ASSESSED","Requirement not assessed; score remains provisional.",IF(M85="Yes","Partial-credit condition applied; 3 points deducted.","Requirement assessed NOT MET; "&amp;L85&amp;" points deducted."))))</f>
        <v/>
      </c>
    </row>
    <row r="86">
      <c r="A86" s="15" t="inlineStr">
        <is>
          <t>RA</t>
        </is>
      </c>
      <c r="B86" s="15" t="inlineStr">
        <is>
          <t>RA.L2-3.11.1</t>
        </is>
      </c>
      <c r="C86" s="15" t="inlineStr">
        <is>
          <t>RIsk Assessments</t>
        </is>
      </c>
      <c r="D86" s="15" t="inlineStr">
        <is>
          <t>Periodically assess the risk to organizational operations (including mission, functions, image, or reputation), organizational assets, and individuals, resulting from the operation of organizational systems and the associated processing, storage, or transmission of CUI.</t>
        </is>
      </c>
      <c r="E86" s="15" t="n">
        <v>200</v>
      </c>
      <c r="F86" s="15" t="n">
        <v>202</v>
      </c>
      <c r="G86" s="16" t="inlineStr">
        <is>
          <t>Yes</t>
        </is>
      </c>
      <c r="H86" s="17" t="inlineStr">
        <is>
          <t>THREE_POINT</t>
        </is>
      </c>
      <c r="I86" s="16" t="inlineStr">
        <is>
          <t>NOT ASSESSED</t>
        </is>
      </c>
      <c r="J86" s="17" t="inlineStr"/>
      <c r="K86" s="17" t="inlineStr">
        <is>
          <t>No</t>
        </is>
      </c>
      <c r="L86" s="17" t="n">
        <v>3</v>
      </c>
      <c r="M86" s="17">
        <f>IF(AND(K86="Yes",I86="NOT MET",J86="PARTIALLY IMPLEMENTED"),"Yes","No")</f>
        <v/>
      </c>
      <c r="N86" s="17">
        <f>IF(OR(I86="MET",I86="NOT APPLICABLE",I86="NOT ASSESSED"),0,IF(AND(K86="Yes",J86="PARTIALLY IMPLEMENTED"),3,L86))</f>
        <v/>
      </c>
      <c r="O86" s="16" t="inlineStr">
        <is>
          <t>Not Started</t>
        </is>
      </c>
      <c r="P86" s="16" t="inlineStr"/>
      <c r="Q86" s="16" t="inlineStr"/>
      <c r="R86" s="16" t="inlineStr"/>
      <c r="S86" s="17">
        <f>IF(I86="NOT MET","Yes","No")</f>
        <v/>
      </c>
      <c r="T86" s="17" t="inlineStr"/>
      <c r="U86" s="17" t="inlineStr">
        <is>
          <t>32 CFR 170.24(c)(2) | Current eCFR</t>
        </is>
      </c>
      <c r="V86" s="17">
        <f>IF(I86="MET","Requirement assessed MET; no deduction.",IF(I86="NOT APPLICABLE","Requirement assessed NOT APPLICABLE; no deduction.",IF(I86="NOT ASSESSED","Requirement not assessed; score remains provisional.",IF(M86="Yes","Partial-credit condition applied; 3 points deducted.","Requirement assessed NOT MET; "&amp;L86&amp;" points deducted."))))</f>
        <v/>
      </c>
    </row>
    <row r="87">
      <c r="A87" s="15" t="inlineStr">
        <is>
          <t>RA</t>
        </is>
      </c>
      <c r="B87" s="15" t="inlineStr">
        <is>
          <t>RA.L2-3.11.2</t>
        </is>
      </c>
      <c r="C87" s="15" t="inlineStr">
        <is>
          <t>Vulnerability Scan</t>
        </is>
      </c>
      <c r="D87" s="15" t="inlineStr">
        <is>
          <t>Scan for vulnerabilities in organizational systems and applications periodically and when new vulnerabilities affecting those systems and applications are identified.</t>
        </is>
      </c>
      <c r="E87" s="15" t="n">
        <v>203</v>
      </c>
      <c r="F87" s="15" t="n">
        <v>205</v>
      </c>
      <c r="G87" s="16" t="inlineStr">
        <is>
          <t>Yes</t>
        </is>
      </c>
      <c r="H87" s="17" t="inlineStr">
        <is>
          <t>FIVE_POINT</t>
        </is>
      </c>
      <c r="I87" s="16" t="inlineStr">
        <is>
          <t>NOT ASSESSED</t>
        </is>
      </c>
      <c r="J87" s="17" t="inlineStr"/>
      <c r="K87" s="17" t="inlineStr">
        <is>
          <t>No</t>
        </is>
      </c>
      <c r="L87" s="17" t="n">
        <v>5</v>
      </c>
      <c r="M87" s="17">
        <f>IF(AND(K87="Yes",I87="NOT MET",J87="PARTIALLY IMPLEMENTED"),"Yes","No")</f>
        <v/>
      </c>
      <c r="N87" s="17">
        <f>IF(OR(I87="MET",I87="NOT APPLICABLE",I87="NOT ASSESSED"),0,IF(AND(K87="Yes",J87="PARTIALLY IMPLEMENTED"),3,L87))</f>
        <v/>
      </c>
      <c r="O87" s="16" t="inlineStr">
        <is>
          <t>Not Started</t>
        </is>
      </c>
      <c r="P87" s="16" t="inlineStr"/>
      <c r="Q87" s="16" t="inlineStr"/>
      <c r="R87" s="16" t="inlineStr"/>
      <c r="S87" s="17">
        <f>IF(I87="NOT MET","Yes","No")</f>
        <v/>
      </c>
      <c r="T87" s="17" t="inlineStr"/>
      <c r="U87" s="17" t="inlineStr">
        <is>
          <t>32 CFR 170.24(c)(2) | Current eCFR</t>
        </is>
      </c>
      <c r="V87" s="17">
        <f>IF(I87="MET","Requirement assessed MET; no deduction.",IF(I87="NOT APPLICABLE","Requirement assessed NOT APPLICABLE; no deduction.",IF(I87="NOT ASSESSED","Requirement not assessed; score remains provisional.",IF(M87="Yes","Partial-credit condition applied; 3 points deducted.","Requirement assessed NOT MET; "&amp;L87&amp;" points deducted."))))</f>
        <v/>
      </c>
    </row>
    <row r="88">
      <c r="A88" s="15" t="inlineStr">
        <is>
          <t>RA</t>
        </is>
      </c>
      <c r="B88" s="15" t="inlineStr">
        <is>
          <t>RA.L2-3.11.3</t>
        </is>
      </c>
      <c r="C88" s="15" t="inlineStr">
        <is>
          <t>Vulnerability Remediation</t>
        </is>
      </c>
      <c r="D88" s="15" t="inlineStr">
        <is>
          <t>Remediate vulnerabilities in accordance with risk assessments.</t>
        </is>
      </c>
      <c r="E88" s="15" t="n">
        <v>206</v>
      </c>
      <c r="F88" s="15" t="n">
        <v>207</v>
      </c>
      <c r="G88" s="16" t="inlineStr">
        <is>
          <t>Yes</t>
        </is>
      </c>
      <c r="H88" s="17" t="inlineStr">
        <is>
          <t>ONE_POINT</t>
        </is>
      </c>
      <c r="I88" s="16" t="inlineStr">
        <is>
          <t>NOT ASSESSED</t>
        </is>
      </c>
      <c r="J88" s="17" t="inlineStr"/>
      <c r="K88" s="17" t="inlineStr">
        <is>
          <t>No</t>
        </is>
      </c>
      <c r="L88" s="17" t="n">
        <v>1</v>
      </c>
      <c r="M88" s="17">
        <f>IF(AND(K88="Yes",I88="NOT MET",J88="PARTIALLY IMPLEMENTED"),"Yes","No")</f>
        <v/>
      </c>
      <c r="N88" s="17">
        <f>IF(OR(I88="MET",I88="NOT APPLICABLE",I88="NOT ASSESSED"),0,IF(AND(K88="Yes",J88="PARTIALLY IMPLEMENTED"),3,L88))</f>
        <v/>
      </c>
      <c r="O88" s="16" t="inlineStr">
        <is>
          <t>Not Started</t>
        </is>
      </c>
      <c r="P88" s="16" t="inlineStr"/>
      <c r="Q88" s="16" t="inlineStr"/>
      <c r="R88" s="16" t="inlineStr"/>
      <c r="S88" s="17">
        <f>IF(I88="NOT MET","Yes","No")</f>
        <v/>
      </c>
      <c r="T88" s="17" t="inlineStr"/>
      <c r="U88" s="17" t="inlineStr">
        <is>
          <t>32 CFR 170.24(c)(2) | Current eCFR</t>
        </is>
      </c>
      <c r="V88" s="17">
        <f>IF(I88="MET","Requirement assessed MET; no deduction.",IF(I88="NOT APPLICABLE","Requirement assessed NOT APPLICABLE; no deduction.",IF(I88="NOT ASSESSED","Requirement not assessed; score remains provisional.",IF(M88="Yes","Partial-credit condition applied; 3 points deducted.","Requirement assessed NOT MET; "&amp;L88&amp;" points deducted."))))</f>
        <v/>
      </c>
    </row>
    <row r="89">
      <c r="A89" s="15" t="inlineStr">
        <is>
          <t>CA</t>
        </is>
      </c>
      <c r="B89" s="15" t="inlineStr">
        <is>
          <t>CA.L2-3.12.1</t>
        </is>
      </c>
      <c r="C89" s="15" t="inlineStr">
        <is>
          <t>Security Control Assessment</t>
        </is>
      </c>
      <c r="D89" s="15" t="inlineStr">
        <is>
          <t>Periodically assess the security controls in organizational systems to determine if the controls are effective in their application.</t>
        </is>
      </c>
      <c r="E89" s="15" t="n">
        <v>208</v>
      </c>
      <c r="F89" s="15" t="n">
        <v>210</v>
      </c>
      <c r="G89" s="16" t="inlineStr">
        <is>
          <t>Yes</t>
        </is>
      </c>
      <c r="H89" s="17" t="inlineStr">
        <is>
          <t>FIVE_POINT</t>
        </is>
      </c>
      <c r="I89" s="16" t="inlineStr">
        <is>
          <t>NOT ASSESSED</t>
        </is>
      </c>
      <c r="J89" s="17" t="inlineStr"/>
      <c r="K89" s="17" t="inlineStr">
        <is>
          <t>No</t>
        </is>
      </c>
      <c r="L89" s="17" t="n">
        <v>5</v>
      </c>
      <c r="M89" s="17">
        <f>IF(AND(K89="Yes",I89="NOT MET",J89="PARTIALLY IMPLEMENTED"),"Yes","No")</f>
        <v/>
      </c>
      <c r="N89" s="17">
        <f>IF(OR(I89="MET",I89="NOT APPLICABLE",I89="NOT ASSESSED"),0,IF(AND(K89="Yes",J89="PARTIALLY IMPLEMENTED"),3,L89))</f>
        <v/>
      </c>
      <c r="O89" s="16" t="inlineStr">
        <is>
          <t>Not Started</t>
        </is>
      </c>
      <c r="P89" s="16" t="inlineStr"/>
      <c r="Q89" s="16" t="inlineStr"/>
      <c r="R89" s="16" t="inlineStr"/>
      <c r="S89" s="17">
        <f>IF(I89="NOT MET","Yes","No")</f>
        <v/>
      </c>
      <c r="T89" s="17" t="inlineStr"/>
      <c r="U89" s="17" t="inlineStr">
        <is>
          <t>32 CFR 170.24(c)(2) | Current eCFR</t>
        </is>
      </c>
      <c r="V89" s="17">
        <f>IF(I89="MET","Requirement assessed MET; no deduction.",IF(I89="NOT APPLICABLE","Requirement assessed NOT APPLICABLE; no deduction.",IF(I89="NOT ASSESSED","Requirement not assessed; score remains provisional.",IF(M89="Yes","Partial-credit condition applied; 3 points deducted.","Requirement assessed NOT MET; "&amp;L89&amp;" points deducted."))))</f>
        <v/>
      </c>
    </row>
    <row r="90">
      <c r="A90" s="15" t="inlineStr">
        <is>
          <t>CA</t>
        </is>
      </c>
      <c r="B90" s="15" t="inlineStr">
        <is>
          <t>CA.L2-3.12.2</t>
        </is>
      </c>
      <c r="C90" s="15" t="inlineStr">
        <is>
          <t>operational Plan of Action</t>
        </is>
      </c>
      <c r="D90" s="15" t="inlineStr">
        <is>
          <t>Develop and implement plans of action designed to correct deficiencies and reduce or eliminate vulnerabilities in organizational systems.</t>
        </is>
      </c>
      <c r="E90" s="15" t="n">
        <v>211</v>
      </c>
      <c r="F90" s="15" t="n">
        <v>213</v>
      </c>
      <c r="G90" s="16" t="inlineStr">
        <is>
          <t>Yes</t>
        </is>
      </c>
      <c r="H90" s="17" t="inlineStr">
        <is>
          <t>THREE_POINT</t>
        </is>
      </c>
      <c r="I90" s="16" t="inlineStr">
        <is>
          <t>NOT ASSESSED</t>
        </is>
      </c>
      <c r="J90" s="17" t="inlineStr"/>
      <c r="K90" s="17" t="inlineStr">
        <is>
          <t>No</t>
        </is>
      </c>
      <c r="L90" s="17" t="n">
        <v>3</v>
      </c>
      <c r="M90" s="17">
        <f>IF(AND(K90="Yes",I90="NOT MET",J90="PARTIALLY IMPLEMENTED"),"Yes","No")</f>
        <v/>
      </c>
      <c r="N90" s="17">
        <f>IF(OR(I90="MET",I90="NOT APPLICABLE",I90="NOT ASSESSED"),0,IF(AND(K90="Yes",J90="PARTIALLY IMPLEMENTED"),3,L90))</f>
        <v/>
      </c>
      <c r="O90" s="16" t="inlineStr">
        <is>
          <t>Not Started</t>
        </is>
      </c>
      <c r="P90" s="16" t="inlineStr"/>
      <c r="Q90" s="16" t="inlineStr"/>
      <c r="R90" s="16" t="inlineStr"/>
      <c r="S90" s="17">
        <f>IF(I90="NOT MET","Yes","No")</f>
        <v/>
      </c>
      <c r="T90" s="17" t="inlineStr"/>
      <c r="U90" s="17" t="inlineStr">
        <is>
          <t>32 CFR 170.24(c)(2) | Current eCFR</t>
        </is>
      </c>
      <c r="V90" s="17">
        <f>IF(I90="MET","Requirement assessed MET; no deduction.",IF(I90="NOT APPLICABLE","Requirement assessed NOT APPLICABLE; no deduction.",IF(I90="NOT ASSESSED","Requirement not assessed; score remains provisional.",IF(M90="Yes","Partial-credit condition applied; 3 points deducted.","Requirement assessed NOT MET; "&amp;L90&amp;" points deducted."))))</f>
        <v/>
      </c>
    </row>
    <row r="91">
      <c r="A91" s="15" t="inlineStr">
        <is>
          <t>CA</t>
        </is>
      </c>
      <c r="B91" s="15" t="inlineStr">
        <is>
          <t>CA.L2-3.12.3</t>
        </is>
      </c>
      <c r="C91" s="15" t="inlineStr">
        <is>
          <t>Security Control Monitoring</t>
        </is>
      </c>
      <c r="D91" s="15" t="inlineStr">
        <is>
          <t>Monitor security controls on an ongoing basis to ensure the continued effectiveness of the controls.</t>
        </is>
      </c>
      <c r="E91" s="15" t="n">
        <v>214</v>
      </c>
      <c r="F91" s="15" t="n">
        <v>215</v>
      </c>
      <c r="G91" s="16" t="inlineStr">
        <is>
          <t>Yes</t>
        </is>
      </c>
      <c r="H91" s="17" t="inlineStr">
        <is>
          <t>FIVE_POINT</t>
        </is>
      </c>
      <c r="I91" s="16" t="inlineStr">
        <is>
          <t>NOT ASSESSED</t>
        </is>
      </c>
      <c r="J91" s="17" t="inlineStr"/>
      <c r="K91" s="17" t="inlineStr">
        <is>
          <t>No</t>
        </is>
      </c>
      <c r="L91" s="17" t="n">
        <v>5</v>
      </c>
      <c r="M91" s="17">
        <f>IF(AND(K91="Yes",I91="NOT MET",J91="PARTIALLY IMPLEMENTED"),"Yes","No")</f>
        <v/>
      </c>
      <c r="N91" s="17">
        <f>IF(OR(I91="MET",I91="NOT APPLICABLE",I91="NOT ASSESSED"),0,IF(AND(K91="Yes",J91="PARTIALLY IMPLEMENTED"),3,L91))</f>
        <v/>
      </c>
      <c r="O91" s="16" t="inlineStr">
        <is>
          <t>Not Started</t>
        </is>
      </c>
      <c r="P91" s="16" t="inlineStr"/>
      <c r="Q91" s="16" t="inlineStr"/>
      <c r="R91" s="16" t="inlineStr"/>
      <c r="S91" s="17">
        <f>IF(I91="NOT MET","Yes","No")</f>
        <v/>
      </c>
      <c r="T91" s="17" t="inlineStr"/>
      <c r="U91" s="17" t="inlineStr">
        <is>
          <t>32 CFR 170.24(c)(2) | Current eCFR</t>
        </is>
      </c>
      <c r="V91" s="17">
        <f>IF(I91="MET","Requirement assessed MET; no deduction.",IF(I91="NOT APPLICABLE","Requirement assessed NOT APPLICABLE; no deduction.",IF(I91="NOT ASSESSED","Requirement not assessed; score remains provisional.",IF(M91="Yes","Partial-credit condition applied; 3 points deducted.","Requirement assessed NOT MET; "&amp;L91&amp;" points deducted."))))</f>
        <v/>
      </c>
    </row>
    <row r="92">
      <c r="A92" s="15" t="inlineStr">
        <is>
          <t>CA</t>
        </is>
      </c>
      <c r="B92" s="15" t="inlineStr">
        <is>
          <t>CA.L2-3.12.4</t>
        </is>
      </c>
      <c r="C92" s="15" t="inlineStr">
        <is>
          <t>System Security Plan</t>
        </is>
      </c>
      <c r="D92" s="15" t="inlineStr">
        <is>
          <t>Develop, document, and periodically update system security plans that describe system boundaries, system environments of operation, how security requirements are implemented, and the relationships with or connections to other systems.</t>
        </is>
      </c>
      <c r="E92" s="15" t="n">
        <v>216</v>
      </c>
      <c r="F92" s="15" t="n">
        <v>218</v>
      </c>
      <c r="G92" s="16" t="inlineStr">
        <is>
          <t>Yes</t>
        </is>
      </c>
      <c r="H92" s="17" t="inlineStr">
        <is>
          <t>ONE_POINT</t>
        </is>
      </c>
      <c r="I92" s="16" t="inlineStr">
        <is>
          <t>NOT ASSESSED</t>
        </is>
      </c>
      <c r="J92" s="17" t="inlineStr"/>
      <c r="K92" s="17" t="inlineStr">
        <is>
          <t>No</t>
        </is>
      </c>
      <c r="L92" s="17" t="n">
        <v>1</v>
      </c>
      <c r="M92" s="17">
        <f>IF(AND(K92="Yes",I92="NOT MET",J92="PARTIALLY IMPLEMENTED"),"Yes","No")</f>
        <v/>
      </c>
      <c r="N92" s="17">
        <f>IF(OR(I92="MET",I92="NOT APPLICABLE",I92="NOT ASSESSED"),0,IF(AND(K92="Yes",J92="PARTIALLY IMPLEMENTED"),3,L92))</f>
        <v/>
      </c>
      <c r="O92" s="16" t="inlineStr">
        <is>
          <t>Not Started</t>
        </is>
      </c>
      <c r="P92" s="16" t="inlineStr"/>
      <c r="Q92" s="16" t="inlineStr"/>
      <c r="R92" s="16" t="inlineStr"/>
      <c r="S92" s="17">
        <f>IF(I92="NOT MET","Yes","No")</f>
        <v/>
      </c>
      <c r="T92" s="17" t="inlineStr"/>
      <c r="U92" s="17" t="inlineStr">
        <is>
          <t>32 CFR 170.24(c)(2) | Current eCFR</t>
        </is>
      </c>
      <c r="V92" s="17">
        <f>IF(I92="MET","Requirement assessed MET; no deduction.",IF(I92="NOT APPLICABLE","Requirement assessed NOT APPLICABLE; no deduction.",IF(I92="NOT ASSESSED","Requirement not assessed; score remains provisional.",IF(M92="Yes","Partial-credit condition applied; 3 points deducted.","Requirement assessed NOT MET; "&amp;L92&amp;" points deducted."))))</f>
        <v/>
      </c>
    </row>
    <row r="93">
      <c r="A93" s="15" t="inlineStr">
        <is>
          <t>SC</t>
        </is>
      </c>
      <c r="B93" s="15" t="inlineStr">
        <is>
          <t>SC.L2-3.13.1</t>
        </is>
      </c>
      <c r="C93" s="15" t="inlineStr">
        <is>
          <t>Boundary Protection [CUI Data]</t>
        </is>
      </c>
      <c r="D93" s="15" t="inlineStr">
        <is>
          <t>Monitor, control, and protect communications (i.e., information transmitted or received by organizational systems) at the external boundaries and key internal boundaries of organizational systems.</t>
        </is>
      </c>
      <c r="E93" s="15" t="n">
        <v>219</v>
      </c>
      <c r="F93" s="15" t="n">
        <v>221</v>
      </c>
      <c r="G93" s="16" t="inlineStr">
        <is>
          <t>Yes</t>
        </is>
      </c>
      <c r="H93" s="17" t="inlineStr">
        <is>
          <t>FIVE_POINT</t>
        </is>
      </c>
      <c r="I93" s="16" t="inlineStr">
        <is>
          <t>NOT ASSESSED</t>
        </is>
      </c>
      <c r="J93" s="17" t="inlineStr"/>
      <c r="K93" s="17" t="inlineStr">
        <is>
          <t>No</t>
        </is>
      </c>
      <c r="L93" s="17" t="n">
        <v>5</v>
      </c>
      <c r="M93" s="17">
        <f>IF(AND(K93="Yes",I93="NOT MET",J93="PARTIALLY IMPLEMENTED"),"Yes","No")</f>
        <v/>
      </c>
      <c r="N93" s="17">
        <f>IF(OR(I93="MET",I93="NOT APPLICABLE",I93="NOT ASSESSED"),0,IF(AND(K93="Yes",J93="PARTIALLY IMPLEMENTED"),3,L93))</f>
        <v/>
      </c>
      <c r="O93" s="16" t="inlineStr">
        <is>
          <t>Not Started</t>
        </is>
      </c>
      <c r="P93" s="16" t="inlineStr"/>
      <c r="Q93" s="16" t="inlineStr"/>
      <c r="R93" s="16" t="inlineStr"/>
      <c r="S93" s="17">
        <f>IF(I93="NOT MET","Yes","No")</f>
        <v/>
      </c>
      <c r="T93" s="17" t="inlineStr"/>
      <c r="U93" s="17" t="inlineStr">
        <is>
          <t>32 CFR 170.24(c)(2) | Current eCFR</t>
        </is>
      </c>
      <c r="V93" s="17">
        <f>IF(I93="MET","Requirement assessed MET; no deduction.",IF(I93="NOT APPLICABLE","Requirement assessed NOT APPLICABLE; no deduction.",IF(I93="NOT ASSESSED","Requirement not assessed; score remains provisional.",IF(M93="Yes","Partial-credit condition applied; 3 points deducted.","Requirement assessed NOT MET; "&amp;L93&amp;" points deducted."))))</f>
        <v/>
      </c>
    </row>
    <row r="94">
      <c r="A94" s="15" t="inlineStr">
        <is>
          <t>SC</t>
        </is>
      </c>
      <c r="B94" s="15" t="inlineStr">
        <is>
          <t>SC.L2-3.13.2</t>
        </is>
      </c>
      <c r="C94" s="15" t="inlineStr">
        <is>
          <t>Security Engineering</t>
        </is>
      </c>
      <c r="D94" s="15" t="inlineStr">
        <is>
          <t>Employ architectural designs, software development techniques, and systems engineering principles that promote effective information security within organizational systems.</t>
        </is>
      </c>
      <c r="E94" s="15" t="n">
        <v>222</v>
      </c>
      <c r="F94" s="15" t="n">
        <v>224</v>
      </c>
      <c r="G94" s="16" t="inlineStr">
        <is>
          <t>Yes</t>
        </is>
      </c>
      <c r="H94" s="17" t="inlineStr">
        <is>
          <t>FIVE_POINT</t>
        </is>
      </c>
      <c r="I94" s="16" t="inlineStr">
        <is>
          <t>NOT ASSESSED</t>
        </is>
      </c>
      <c r="J94" s="17" t="inlineStr"/>
      <c r="K94" s="17" t="inlineStr">
        <is>
          <t>No</t>
        </is>
      </c>
      <c r="L94" s="17" t="n">
        <v>5</v>
      </c>
      <c r="M94" s="17">
        <f>IF(AND(K94="Yes",I94="NOT MET",J94="PARTIALLY IMPLEMENTED"),"Yes","No")</f>
        <v/>
      </c>
      <c r="N94" s="17">
        <f>IF(OR(I94="MET",I94="NOT APPLICABLE",I94="NOT ASSESSED"),0,IF(AND(K94="Yes",J94="PARTIALLY IMPLEMENTED"),3,L94))</f>
        <v/>
      </c>
      <c r="O94" s="16" t="inlineStr">
        <is>
          <t>Not Started</t>
        </is>
      </c>
      <c r="P94" s="16" t="inlineStr"/>
      <c r="Q94" s="16" t="inlineStr"/>
      <c r="R94" s="16" t="inlineStr"/>
      <c r="S94" s="17">
        <f>IF(I94="NOT MET","Yes","No")</f>
        <v/>
      </c>
      <c r="T94" s="17" t="inlineStr"/>
      <c r="U94" s="17" t="inlineStr">
        <is>
          <t>32 CFR 170.24(c)(2) | Current eCFR</t>
        </is>
      </c>
      <c r="V94" s="17">
        <f>IF(I94="MET","Requirement assessed MET; no deduction.",IF(I94="NOT APPLICABLE","Requirement assessed NOT APPLICABLE; no deduction.",IF(I94="NOT ASSESSED","Requirement not assessed; score remains provisional.",IF(M94="Yes","Partial-credit condition applied; 3 points deducted.","Requirement assessed NOT MET; "&amp;L94&amp;" points deducted."))))</f>
        <v/>
      </c>
    </row>
    <row r="95">
      <c r="A95" s="15" t="inlineStr">
        <is>
          <t>SC</t>
        </is>
      </c>
      <c r="B95" s="15" t="inlineStr">
        <is>
          <t>SC.L2-3.13.3</t>
        </is>
      </c>
      <c r="C95" s="15" t="inlineStr">
        <is>
          <t>Role Separation</t>
        </is>
      </c>
      <c r="D95" s="15" t="inlineStr">
        <is>
          <t>Separate user functionality from system management functionality.</t>
        </is>
      </c>
      <c r="E95" s="15" t="n">
        <v>225</v>
      </c>
      <c r="F95" s="15" t="n">
        <v>226</v>
      </c>
      <c r="G95" s="16" t="inlineStr">
        <is>
          <t>Yes</t>
        </is>
      </c>
      <c r="H95" s="17" t="inlineStr">
        <is>
          <t>ONE_POINT</t>
        </is>
      </c>
      <c r="I95" s="16" t="inlineStr">
        <is>
          <t>NOT ASSESSED</t>
        </is>
      </c>
      <c r="J95" s="17" t="inlineStr"/>
      <c r="K95" s="17" t="inlineStr">
        <is>
          <t>No</t>
        </is>
      </c>
      <c r="L95" s="17" t="n">
        <v>1</v>
      </c>
      <c r="M95" s="17">
        <f>IF(AND(K95="Yes",I95="NOT MET",J95="PARTIALLY IMPLEMENTED"),"Yes","No")</f>
        <v/>
      </c>
      <c r="N95" s="17">
        <f>IF(OR(I95="MET",I95="NOT APPLICABLE",I95="NOT ASSESSED"),0,IF(AND(K95="Yes",J95="PARTIALLY IMPLEMENTED"),3,L95))</f>
        <v/>
      </c>
      <c r="O95" s="16" t="inlineStr">
        <is>
          <t>Not Started</t>
        </is>
      </c>
      <c r="P95" s="16" t="inlineStr"/>
      <c r="Q95" s="16" t="inlineStr"/>
      <c r="R95" s="16" t="inlineStr"/>
      <c r="S95" s="17">
        <f>IF(I95="NOT MET","Yes","No")</f>
        <v/>
      </c>
      <c r="T95" s="17" t="inlineStr"/>
      <c r="U95" s="17" t="inlineStr">
        <is>
          <t>32 CFR 170.24(c)(2) | Current eCFR</t>
        </is>
      </c>
      <c r="V95" s="17">
        <f>IF(I95="MET","Requirement assessed MET; no deduction.",IF(I95="NOT APPLICABLE","Requirement assessed NOT APPLICABLE; no deduction.",IF(I95="NOT ASSESSED","Requirement not assessed; score remains provisional.",IF(M95="Yes","Partial-credit condition applied; 3 points deducted.","Requirement assessed NOT MET; "&amp;L95&amp;" points deducted."))))</f>
        <v/>
      </c>
    </row>
    <row r="96">
      <c r="A96" s="15" t="inlineStr">
        <is>
          <t>SC</t>
        </is>
      </c>
      <c r="B96" s="15" t="inlineStr">
        <is>
          <t>SC.L2-3.13.4</t>
        </is>
      </c>
      <c r="C96" s="15" t="inlineStr">
        <is>
          <t>Shared Resource Control</t>
        </is>
      </c>
      <c r="D96" s="15" t="inlineStr">
        <is>
          <t>Prevent unauthorized and unintended information transfer via shared system resources.</t>
        </is>
      </c>
      <c r="E96" s="15" t="n">
        <v>227</v>
      </c>
      <c r="F96" s="15" t="n">
        <v>228</v>
      </c>
      <c r="G96" s="16" t="inlineStr">
        <is>
          <t>Yes</t>
        </is>
      </c>
      <c r="H96" s="17" t="inlineStr">
        <is>
          <t>ONE_POINT</t>
        </is>
      </c>
      <c r="I96" s="16" t="inlineStr">
        <is>
          <t>NOT ASSESSED</t>
        </is>
      </c>
      <c r="J96" s="17" t="inlineStr"/>
      <c r="K96" s="17" t="inlineStr">
        <is>
          <t>No</t>
        </is>
      </c>
      <c r="L96" s="17" t="n">
        <v>1</v>
      </c>
      <c r="M96" s="17">
        <f>IF(AND(K96="Yes",I96="NOT MET",J96="PARTIALLY IMPLEMENTED"),"Yes","No")</f>
        <v/>
      </c>
      <c r="N96" s="17">
        <f>IF(OR(I96="MET",I96="NOT APPLICABLE",I96="NOT ASSESSED"),0,IF(AND(K96="Yes",J96="PARTIALLY IMPLEMENTED"),3,L96))</f>
        <v/>
      </c>
      <c r="O96" s="16" t="inlineStr">
        <is>
          <t>Not Started</t>
        </is>
      </c>
      <c r="P96" s="16" t="inlineStr"/>
      <c r="Q96" s="16" t="inlineStr"/>
      <c r="R96" s="16" t="inlineStr"/>
      <c r="S96" s="17">
        <f>IF(I96="NOT MET","Yes","No")</f>
        <v/>
      </c>
      <c r="T96" s="17" t="inlineStr"/>
      <c r="U96" s="17" t="inlineStr">
        <is>
          <t>32 CFR 170.24(c)(2) | Current eCFR</t>
        </is>
      </c>
      <c r="V96" s="17">
        <f>IF(I96="MET","Requirement assessed MET; no deduction.",IF(I96="NOT APPLICABLE","Requirement assessed NOT APPLICABLE; no deduction.",IF(I96="NOT ASSESSED","Requirement not assessed; score remains provisional.",IF(M96="Yes","Partial-credit condition applied; 3 points deducted.","Requirement assessed NOT MET; "&amp;L96&amp;" points deducted."))))</f>
        <v/>
      </c>
    </row>
    <row r="97">
      <c r="A97" s="15" t="inlineStr">
        <is>
          <t>SC</t>
        </is>
      </c>
      <c r="B97" s="15" t="inlineStr">
        <is>
          <t>SC.L2-3.13.5</t>
        </is>
      </c>
      <c r="C97" s="15" t="inlineStr">
        <is>
          <t>Public-Access System Separation [CUI Data]</t>
        </is>
      </c>
      <c r="D97" s="15" t="inlineStr">
        <is>
          <t>Implement subnetworks for publicly accessible system components that are physically or logically separated from internal networks.</t>
        </is>
      </c>
      <c r="E97" s="15" t="n">
        <v>229</v>
      </c>
      <c r="F97" s="15" t="n">
        <v>230</v>
      </c>
      <c r="G97" s="16" t="inlineStr">
        <is>
          <t>Yes</t>
        </is>
      </c>
      <c r="H97" s="17" t="inlineStr">
        <is>
          <t>FIVE_POINT</t>
        </is>
      </c>
      <c r="I97" s="16" t="inlineStr">
        <is>
          <t>NOT ASSESSED</t>
        </is>
      </c>
      <c r="J97" s="17" t="inlineStr"/>
      <c r="K97" s="17" t="inlineStr">
        <is>
          <t>No</t>
        </is>
      </c>
      <c r="L97" s="17" t="n">
        <v>5</v>
      </c>
      <c r="M97" s="17">
        <f>IF(AND(K97="Yes",I97="NOT MET",J97="PARTIALLY IMPLEMENTED"),"Yes","No")</f>
        <v/>
      </c>
      <c r="N97" s="17">
        <f>IF(OR(I97="MET",I97="NOT APPLICABLE",I97="NOT ASSESSED"),0,IF(AND(K97="Yes",J97="PARTIALLY IMPLEMENTED"),3,L97))</f>
        <v/>
      </c>
      <c r="O97" s="16" t="inlineStr">
        <is>
          <t>Not Started</t>
        </is>
      </c>
      <c r="P97" s="16" t="inlineStr"/>
      <c r="Q97" s="16" t="inlineStr"/>
      <c r="R97" s="16" t="inlineStr"/>
      <c r="S97" s="17">
        <f>IF(I97="NOT MET","Yes","No")</f>
        <v/>
      </c>
      <c r="T97" s="17" t="inlineStr"/>
      <c r="U97" s="17" t="inlineStr">
        <is>
          <t>32 CFR 170.24(c)(2) | Current eCFR</t>
        </is>
      </c>
      <c r="V97" s="17">
        <f>IF(I97="MET","Requirement assessed MET; no deduction.",IF(I97="NOT APPLICABLE","Requirement assessed NOT APPLICABLE; no deduction.",IF(I97="NOT ASSESSED","Requirement not assessed; score remains provisional.",IF(M97="Yes","Partial-credit condition applied; 3 points deducted.","Requirement assessed NOT MET; "&amp;L97&amp;" points deducted."))))</f>
        <v/>
      </c>
    </row>
    <row r="98">
      <c r="A98" s="15" t="inlineStr">
        <is>
          <t>SC</t>
        </is>
      </c>
      <c r="B98" s="15" t="inlineStr">
        <is>
          <t>SC.L2-3.13.6</t>
        </is>
      </c>
      <c r="C98" s="15" t="inlineStr">
        <is>
          <t>Network Communication by Exception</t>
        </is>
      </c>
      <c r="D98" s="15" t="inlineStr">
        <is>
          <t>Deny network communications traffic by default and allow network communications traffic by exception (i.e., deny all, permit by exception).</t>
        </is>
      </c>
      <c r="E98" s="15" t="n">
        <v>231</v>
      </c>
      <c r="F98" s="15" t="n">
        <v>232</v>
      </c>
      <c r="G98" s="16" t="inlineStr">
        <is>
          <t>Yes</t>
        </is>
      </c>
      <c r="H98" s="17" t="inlineStr">
        <is>
          <t>FIVE_POINT</t>
        </is>
      </c>
      <c r="I98" s="16" t="inlineStr">
        <is>
          <t>NOT ASSESSED</t>
        </is>
      </c>
      <c r="J98" s="17" t="inlineStr"/>
      <c r="K98" s="17" t="inlineStr">
        <is>
          <t>No</t>
        </is>
      </c>
      <c r="L98" s="17" t="n">
        <v>5</v>
      </c>
      <c r="M98" s="17">
        <f>IF(AND(K98="Yes",I98="NOT MET",J98="PARTIALLY IMPLEMENTED"),"Yes","No")</f>
        <v/>
      </c>
      <c r="N98" s="17">
        <f>IF(OR(I98="MET",I98="NOT APPLICABLE",I98="NOT ASSESSED"),0,IF(AND(K98="Yes",J98="PARTIALLY IMPLEMENTED"),3,L98))</f>
        <v/>
      </c>
      <c r="O98" s="16" t="inlineStr">
        <is>
          <t>Not Started</t>
        </is>
      </c>
      <c r="P98" s="16" t="inlineStr"/>
      <c r="Q98" s="16" t="inlineStr"/>
      <c r="R98" s="16" t="inlineStr"/>
      <c r="S98" s="17">
        <f>IF(I98="NOT MET","Yes","No")</f>
        <v/>
      </c>
      <c r="T98" s="17" t="inlineStr"/>
      <c r="U98" s="17" t="inlineStr">
        <is>
          <t>32 CFR 170.24(c)(2) | Current eCFR</t>
        </is>
      </c>
      <c r="V98" s="17">
        <f>IF(I98="MET","Requirement assessed MET; no deduction.",IF(I98="NOT APPLICABLE","Requirement assessed NOT APPLICABLE; no deduction.",IF(I98="NOT ASSESSED","Requirement not assessed; score remains provisional.",IF(M98="Yes","Partial-credit condition applied; 3 points deducted.","Requirement assessed NOT MET; "&amp;L98&amp;" points deducted."))))</f>
        <v/>
      </c>
    </row>
    <row r="99">
      <c r="A99" s="15" t="inlineStr">
        <is>
          <t>SC</t>
        </is>
      </c>
      <c r="B99" s="15" t="inlineStr">
        <is>
          <t>SC.L2-3.13.7</t>
        </is>
      </c>
      <c r="C99" s="15" t="inlineStr">
        <is>
          <t>Split Tunneling</t>
        </is>
      </c>
      <c r="D99" s="15" t="inlineStr">
        <is>
          <t>Prevent remote devices from simultaneously establishing non- remote connections with organizational systems and communicating via some other connection to resources in external networks (i.e., split tunneling).</t>
        </is>
      </c>
      <c r="E99" s="15" t="n">
        <v>233</v>
      </c>
      <c r="F99" s="15" t="n">
        <v>234</v>
      </c>
      <c r="G99" s="16" t="inlineStr">
        <is>
          <t>Yes</t>
        </is>
      </c>
      <c r="H99" s="17" t="inlineStr">
        <is>
          <t>ONE_POINT</t>
        </is>
      </c>
      <c r="I99" s="16" t="inlineStr">
        <is>
          <t>NOT ASSESSED</t>
        </is>
      </c>
      <c r="J99" s="17" t="inlineStr"/>
      <c r="K99" s="17" t="inlineStr">
        <is>
          <t>No</t>
        </is>
      </c>
      <c r="L99" s="17" t="n">
        <v>1</v>
      </c>
      <c r="M99" s="17">
        <f>IF(AND(K99="Yes",I99="NOT MET",J99="PARTIALLY IMPLEMENTED"),"Yes","No")</f>
        <v/>
      </c>
      <c r="N99" s="17">
        <f>IF(OR(I99="MET",I99="NOT APPLICABLE",I99="NOT ASSESSED"),0,IF(AND(K99="Yes",J99="PARTIALLY IMPLEMENTED"),3,L99))</f>
        <v/>
      </c>
      <c r="O99" s="16" t="inlineStr">
        <is>
          <t>Not Started</t>
        </is>
      </c>
      <c r="P99" s="16" t="inlineStr"/>
      <c r="Q99" s="16" t="inlineStr"/>
      <c r="R99" s="16" t="inlineStr"/>
      <c r="S99" s="17">
        <f>IF(I99="NOT MET","Yes","No")</f>
        <v/>
      </c>
      <c r="T99" s="17" t="inlineStr"/>
      <c r="U99" s="17" t="inlineStr">
        <is>
          <t>32 CFR 170.24(c)(2) | Current eCFR</t>
        </is>
      </c>
      <c r="V99" s="17">
        <f>IF(I99="MET","Requirement assessed MET; no deduction.",IF(I99="NOT APPLICABLE","Requirement assessed NOT APPLICABLE; no deduction.",IF(I99="NOT ASSESSED","Requirement not assessed; score remains provisional.",IF(M99="Yes","Partial-credit condition applied; 3 points deducted.","Requirement assessed NOT MET; "&amp;L99&amp;" points deducted."))))</f>
        <v/>
      </c>
    </row>
    <row r="100">
      <c r="A100" s="15" t="inlineStr">
        <is>
          <t>SC</t>
        </is>
      </c>
      <c r="B100" s="15" t="inlineStr">
        <is>
          <t>SC.L2-3.13.8</t>
        </is>
      </c>
      <c r="C100" s="15" t="inlineStr">
        <is>
          <t>Data in Transit</t>
        </is>
      </c>
      <c r="D100" s="15" t="inlineStr">
        <is>
          <t>Implement cryptographic mechanisms to prevent unauthorized disclosure of CUI during transmission unless otherwise protected by alternative physical safeguards.</t>
        </is>
      </c>
      <c r="E100" s="15" t="n">
        <v>235</v>
      </c>
      <c r="F100" s="15" t="n">
        <v>236</v>
      </c>
      <c r="G100" s="16" t="inlineStr">
        <is>
          <t>Yes</t>
        </is>
      </c>
      <c r="H100" s="17" t="inlineStr">
        <is>
          <t>THREE_POINT</t>
        </is>
      </c>
      <c r="I100" s="16" t="inlineStr">
        <is>
          <t>NOT ASSESSED</t>
        </is>
      </c>
      <c r="J100" s="17" t="inlineStr"/>
      <c r="K100" s="17" t="inlineStr">
        <is>
          <t>No</t>
        </is>
      </c>
      <c r="L100" s="17" t="n">
        <v>3</v>
      </c>
      <c r="M100" s="17">
        <f>IF(AND(K100="Yes",I100="NOT MET",J100="PARTIALLY IMPLEMENTED"),"Yes","No")</f>
        <v/>
      </c>
      <c r="N100" s="17">
        <f>IF(OR(I100="MET",I100="NOT APPLICABLE",I100="NOT ASSESSED"),0,IF(AND(K100="Yes",J100="PARTIALLY IMPLEMENTED"),3,L100))</f>
        <v/>
      </c>
      <c r="O100" s="16" t="inlineStr">
        <is>
          <t>Not Started</t>
        </is>
      </c>
      <c r="P100" s="16" t="inlineStr"/>
      <c r="Q100" s="16" t="inlineStr"/>
      <c r="R100" s="16" t="inlineStr"/>
      <c r="S100" s="17">
        <f>IF(I100="NOT MET","Yes","No")</f>
        <v/>
      </c>
      <c r="T100" s="17" t="inlineStr"/>
      <c r="U100" s="17" t="inlineStr">
        <is>
          <t>32 CFR 170.24(c)(2) | Current eCFR</t>
        </is>
      </c>
      <c r="V100" s="17">
        <f>IF(I100="MET","Requirement assessed MET; no deduction.",IF(I100="NOT APPLICABLE","Requirement assessed NOT APPLICABLE; no deduction.",IF(I100="NOT ASSESSED","Requirement not assessed; score remains provisional.",IF(M100="Yes","Partial-credit condition applied; 3 points deducted.","Requirement assessed NOT MET; "&amp;L100&amp;" points deducted."))))</f>
        <v/>
      </c>
    </row>
    <row r="101">
      <c r="A101" s="15" t="inlineStr">
        <is>
          <t>SC</t>
        </is>
      </c>
      <c r="B101" s="15" t="inlineStr">
        <is>
          <t>SC.L2-3.13.9</t>
        </is>
      </c>
      <c r="C101" s="15" t="inlineStr">
        <is>
          <t>Connections Termination</t>
        </is>
      </c>
      <c r="D101" s="15" t="inlineStr">
        <is>
          <t>Terminate network connections associated with communications sessions at the end of the sessions or after a defined period of inactivity.</t>
        </is>
      </c>
      <c r="E101" s="15" t="n">
        <v>237</v>
      </c>
      <c r="F101" s="15" t="n">
        <v>238</v>
      </c>
      <c r="G101" s="16" t="inlineStr">
        <is>
          <t>Yes</t>
        </is>
      </c>
      <c r="H101" s="17" t="inlineStr">
        <is>
          <t>ONE_POINT</t>
        </is>
      </c>
      <c r="I101" s="16" t="inlineStr">
        <is>
          <t>NOT ASSESSED</t>
        </is>
      </c>
      <c r="J101" s="17" t="inlineStr"/>
      <c r="K101" s="17" t="inlineStr">
        <is>
          <t>No</t>
        </is>
      </c>
      <c r="L101" s="17" t="n">
        <v>1</v>
      </c>
      <c r="M101" s="17">
        <f>IF(AND(K101="Yes",I101="NOT MET",J101="PARTIALLY IMPLEMENTED"),"Yes","No")</f>
        <v/>
      </c>
      <c r="N101" s="17">
        <f>IF(OR(I101="MET",I101="NOT APPLICABLE",I101="NOT ASSESSED"),0,IF(AND(K101="Yes",J101="PARTIALLY IMPLEMENTED"),3,L101))</f>
        <v/>
      </c>
      <c r="O101" s="16" t="inlineStr">
        <is>
          <t>Not Started</t>
        </is>
      </c>
      <c r="P101" s="16" t="inlineStr"/>
      <c r="Q101" s="16" t="inlineStr"/>
      <c r="R101" s="16" t="inlineStr"/>
      <c r="S101" s="17">
        <f>IF(I101="NOT MET","Yes","No")</f>
        <v/>
      </c>
      <c r="T101" s="17" t="inlineStr"/>
      <c r="U101" s="17" t="inlineStr">
        <is>
          <t>32 CFR 170.24(c)(2) | Current eCFR</t>
        </is>
      </c>
      <c r="V101" s="17">
        <f>IF(I101="MET","Requirement assessed MET; no deduction.",IF(I101="NOT APPLICABLE","Requirement assessed NOT APPLICABLE; no deduction.",IF(I101="NOT ASSESSED","Requirement not assessed; score remains provisional.",IF(M101="Yes","Partial-credit condition applied; 3 points deducted.","Requirement assessed NOT MET; "&amp;L101&amp;" points deducted."))))</f>
        <v/>
      </c>
    </row>
    <row r="102">
      <c r="A102" s="15" t="inlineStr">
        <is>
          <t>SC</t>
        </is>
      </c>
      <c r="B102" s="15" t="inlineStr">
        <is>
          <t>SC.L2-3.13.10</t>
        </is>
      </c>
      <c r="C102" s="15" t="inlineStr">
        <is>
          <t>Key Management</t>
        </is>
      </c>
      <c r="D102" s="15" t="inlineStr">
        <is>
          <t>Establish and manage cryptographic keys for cryptography employed in organizational systems.</t>
        </is>
      </c>
      <c r="E102" s="15" t="n">
        <v>239</v>
      </c>
      <c r="F102" s="15" t="n">
        <v>241</v>
      </c>
      <c r="G102" s="16" t="inlineStr">
        <is>
          <t>Yes</t>
        </is>
      </c>
      <c r="H102" s="17" t="inlineStr">
        <is>
          <t>ONE_POINT</t>
        </is>
      </c>
      <c r="I102" s="16" t="inlineStr">
        <is>
          <t>NOT ASSESSED</t>
        </is>
      </c>
      <c r="J102" s="17" t="inlineStr"/>
      <c r="K102" s="17" t="inlineStr">
        <is>
          <t>No</t>
        </is>
      </c>
      <c r="L102" s="17" t="n">
        <v>1</v>
      </c>
      <c r="M102" s="17">
        <f>IF(AND(K102="Yes",I102="NOT MET",J102="PARTIALLY IMPLEMENTED"),"Yes","No")</f>
        <v/>
      </c>
      <c r="N102" s="17">
        <f>IF(OR(I102="MET",I102="NOT APPLICABLE",I102="NOT ASSESSED"),0,IF(AND(K102="Yes",J102="PARTIALLY IMPLEMENTED"),3,L102))</f>
        <v/>
      </c>
      <c r="O102" s="16" t="inlineStr">
        <is>
          <t>Not Started</t>
        </is>
      </c>
      <c r="P102" s="16" t="inlineStr"/>
      <c r="Q102" s="16" t="inlineStr"/>
      <c r="R102" s="16" t="inlineStr"/>
      <c r="S102" s="17">
        <f>IF(I102="NOT MET","Yes","No")</f>
        <v/>
      </c>
      <c r="T102" s="17" t="inlineStr"/>
      <c r="U102" s="17" t="inlineStr">
        <is>
          <t>32 CFR 170.24(c)(2) | Current eCFR</t>
        </is>
      </c>
      <c r="V102" s="17">
        <f>IF(I102="MET","Requirement assessed MET; no deduction.",IF(I102="NOT APPLICABLE","Requirement assessed NOT APPLICABLE; no deduction.",IF(I102="NOT ASSESSED","Requirement not assessed; score remains provisional.",IF(M102="Yes","Partial-credit condition applied; 3 points deducted.","Requirement assessed NOT MET; "&amp;L102&amp;" points deducted."))))</f>
        <v/>
      </c>
    </row>
    <row r="103">
      <c r="A103" s="15" t="inlineStr">
        <is>
          <t>SC</t>
        </is>
      </c>
      <c r="B103" s="15" t="inlineStr">
        <is>
          <t>SC.L2-3.13.11</t>
        </is>
      </c>
      <c r="C103" s="15" t="inlineStr">
        <is>
          <t>CUI Encryption</t>
        </is>
      </c>
      <c r="D103" s="15" t="inlineStr">
        <is>
          <t>Employ FIPS-validated cryptography when used to protect the confidentiality of CUI.</t>
        </is>
      </c>
      <c r="E103" s="15" t="n">
        <v>242</v>
      </c>
      <c r="F103" s="15" t="n">
        <v>243</v>
      </c>
      <c r="G103" s="16" t="inlineStr">
        <is>
          <t>Yes</t>
        </is>
      </c>
      <c r="H103" s="17" t="inlineStr">
        <is>
          <t>PARTIAL_3_OR_5</t>
        </is>
      </c>
      <c r="I103" s="16" t="inlineStr">
        <is>
          <t>NOT ASSESSED</t>
        </is>
      </c>
      <c r="J103" s="16" t="inlineStr">
        <is>
          <t>NOT ASSESSED</t>
        </is>
      </c>
      <c r="K103" s="17" t="inlineStr">
        <is>
          <t>Yes</t>
        </is>
      </c>
      <c r="L103" s="17" t="n">
        <v>5</v>
      </c>
      <c r="M103" s="17">
        <f>IF(AND(K103="Yes",I103="NOT MET",J103="PARTIALLY IMPLEMENTED"),"Yes","No")</f>
        <v/>
      </c>
      <c r="N103" s="17">
        <f>IF(OR(I103="MET",I103="NOT APPLICABLE",I103="NOT ASSESSED"),0,IF(AND(K103="Yes",J103="PARTIALLY IMPLEMENTED"),3,L103))</f>
        <v/>
      </c>
      <c r="O103" s="16" t="inlineStr">
        <is>
          <t>Not Started</t>
        </is>
      </c>
      <c r="P103" s="16" t="inlineStr"/>
      <c r="Q103" s="16" t="inlineStr"/>
      <c r="R103" s="16" t="inlineStr"/>
      <c r="S103" s="17">
        <f>IF(I103="NOT MET","Yes","No")</f>
        <v/>
      </c>
      <c r="T103" s="17" t="inlineStr">
        <is>
          <t>Encryption is employed, but it is not FIPS-validated.</t>
        </is>
      </c>
      <c r="U103" s="17" t="inlineStr">
        <is>
          <t>32 CFR 170.24(c)(2) | Current eCFR</t>
        </is>
      </c>
      <c r="V103" s="17">
        <f>IF(I103="MET","Requirement assessed MET; no deduction.",IF(I103="NOT APPLICABLE","Requirement assessed NOT APPLICABLE; no deduction.",IF(I103="NOT ASSESSED","Requirement not assessed; score remains provisional.",IF(M103="Yes","Partial-credit condition applied; 3 points deducted.","Requirement assessed NOT MET; "&amp;L103&amp;" points deducted."))))</f>
        <v/>
      </c>
    </row>
    <row r="104">
      <c r="A104" s="15" t="inlineStr">
        <is>
          <t>SC</t>
        </is>
      </c>
      <c r="B104" s="15" t="inlineStr">
        <is>
          <t>SC.L2-3.13.12</t>
        </is>
      </c>
      <c r="C104" s="15" t="inlineStr">
        <is>
          <t>Collaborative Device Control</t>
        </is>
      </c>
      <c r="D104" s="15" t="inlineStr">
        <is>
          <t>Prohibit remote activation of collaborative computing devices and provide indication of devices in use to users present at the device.</t>
        </is>
      </c>
      <c r="E104" s="15" t="n">
        <v>244</v>
      </c>
      <c r="F104" s="15" t="n">
        <v>245</v>
      </c>
      <c r="G104" s="16" t="inlineStr">
        <is>
          <t>Yes</t>
        </is>
      </c>
      <c r="H104" s="17" t="inlineStr">
        <is>
          <t>ONE_POINT</t>
        </is>
      </c>
      <c r="I104" s="16" t="inlineStr">
        <is>
          <t>NOT ASSESSED</t>
        </is>
      </c>
      <c r="J104" s="17" t="inlineStr"/>
      <c r="K104" s="17" t="inlineStr">
        <is>
          <t>No</t>
        </is>
      </c>
      <c r="L104" s="17" t="n">
        <v>1</v>
      </c>
      <c r="M104" s="17">
        <f>IF(AND(K104="Yes",I104="NOT MET",J104="PARTIALLY IMPLEMENTED"),"Yes","No")</f>
        <v/>
      </c>
      <c r="N104" s="17">
        <f>IF(OR(I104="MET",I104="NOT APPLICABLE",I104="NOT ASSESSED"),0,IF(AND(K104="Yes",J104="PARTIALLY IMPLEMENTED"),3,L104))</f>
        <v/>
      </c>
      <c r="O104" s="16" t="inlineStr">
        <is>
          <t>Not Started</t>
        </is>
      </c>
      <c r="P104" s="16" t="inlineStr"/>
      <c r="Q104" s="16" t="inlineStr"/>
      <c r="R104" s="16" t="inlineStr"/>
      <c r="S104" s="17">
        <f>IF(I104="NOT MET","Yes","No")</f>
        <v/>
      </c>
      <c r="T104" s="17" t="inlineStr"/>
      <c r="U104" s="17" t="inlineStr">
        <is>
          <t>32 CFR 170.24(c)(2) | Current eCFR</t>
        </is>
      </c>
      <c r="V104" s="17">
        <f>IF(I104="MET","Requirement assessed MET; no deduction.",IF(I104="NOT APPLICABLE","Requirement assessed NOT APPLICABLE; no deduction.",IF(I104="NOT ASSESSED","Requirement not assessed; score remains provisional.",IF(M104="Yes","Partial-credit condition applied; 3 points deducted.","Requirement assessed NOT MET; "&amp;L104&amp;" points deducted."))))</f>
        <v/>
      </c>
    </row>
    <row r="105">
      <c r="A105" s="15" t="inlineStr">
        <is>
          <t>SC</t>
        </is>
      </c>
      <c r="B105" s="15" t="inlineStr">
        <is>
          <t>SC.L2-3.13.13</t>
        </is>
      </c>
      <c r="C105" s="15" t="inlineStr">
        <is>
          <t>Mobile Code</t>
        </is>
      </c>
      <c r="D105" s="15" t="inlineStr">
        <is>
          <t>Control and monitor the use of mobile code.</t>
        </is>
      </c>
      <c r="E105" s="15" t="n">
        <v>246</v>
      </c>
      <c r="F105" s="15" t="n">
        <v>247</v>
      </c>
      <c r="G105" s="16" t="inlineStr">
        <is>
          <t>Yes</t>
        </is>
      </c>
      <c r="H105" s="17" t="inlineStr">
        <is>
          <t>ONE_POINT</t>
        </is>
      </c>
      <c r="I105" s="16" t="inlineStr">
        <is>
          <t>NOT ASSESSED</t>
        </is>
      </c>
      <c r="J105" s="17" t="inlineStr"/>
      <c r="K105" s="17" t="inlineStr">
        <is>
          <t>No</t>
        </is>
      </c>
      <c r="L105" s="17" t="n">
        <v>1</v>
      </c>
      <c r="M105" s="17">
        <f>IF(AND(K105="Yes",I105="NOT MET",J105="PARTIALLY IMPLEMENTED"),"Yes","No")</f>
        <v/>
      </c>
      <c r="N105" s="17">
        <f>IF(OR(I105="MET",I105="NOT APPLICABLE",I105="NOT ASSESSED"),0,IF(AND(K105="Yes",J105="PARTIALLY IMPLEMENTED"),3,L105))</f>
        <v/>
      </c>
      <c r="O105" s="16" t="inlineStr">
        <is>
          <t>Not Started</t>
        </is>
      </c>
      <c r="P105" s="16" t="inlineStr"/>
      <c r="Q105" s="16" t="inlineStr"/>
      <c r="R105" s="16" t="inlineStr"/>
      <c r="S105" s="17">
        <f>IF(I105="NOT MET","Yes","No")</f>
        <v/>
      </c>
      <c r="T105" s="17" t="inlineStr"/>
      <c r="U105" s="17" t="inlineStr">
        <is>
          <t>32 CFR 170.24(c)(2) | Current eCFR</t>
        </is>
      </c>
      <c r="V105" s="17">
        <f>IF(I105="MET","Requirement assessed MET; no deduction.",IF(I105="NOT APPLICABLE","Requirement assessed NOT APPLICABLE; no deduction.",IF(I105="NOT ASSESSED","Requirement not assessed; score remains provisional.",IF(M105="Yes","Partial-credit condition applied; 3 points deducted.","Requirement assessed NOT MET; "&amp;L105&amp;" points deducted."))))</f>
        <v/>
      </c>
    </row>
    <row r="106">
      <c r="A106" s="15" t="inlineStr">
        <is>
          <t>SC</t>
        </is>
      </c>
      <c r="B106" s="15" t="inlineStr">
        <is>
          <t>SC.L2-3.13.14</t>
        </is>
      </c>
      <c r="C106" s="15" t="inlineStr">
        <is>
          <t>Voice over Internet Protocol</t>
        </is>
      </c>
      <c r="D106" s="15" t="inlineStr">
        <is>
          <t>Control and monitor the use of Voice over Internet Protocol (VoIP) technologies.</t>
        </is>
      </c>
      <c r="E106" s="15" t="n">
        <v>248</v>
      </c>
      <c r="F106" s="15" t="n">
        <v>249</v>
      </c>
      <c r="G106" s="16" t="inlineStr">
        <is>
          <t>Yes</t>
        </is>
      </c>
      <c r="H106" s="17" t="inlineStr">
        <is>
          <t>ONE_POINT</t>
        </is>
      </c>
      <c r="I106" s="16" t="inlineStr">
        <is>
          <t>NOT ASSESSED</t>
        </is>
      </c>
      <c r="J106" s="17" t="inlineStr"/>
      <c r="K106" s="17" t="inlineStr">
        <is>
          <t>No</t>
        </is>
      </c>
      <c r="L106" s="17" t="n">
        <v>1</v>
      </c>
      <c r="M106" s="17">
        <f>IF(AND(K106="Yes",I106="NOT MET",J106="PARTIALLY IMPLEMENTED"),"Yes","No")</f>
        <v/>
      </c>
      <c r="N106" s="17">
        <f>IF(OR(I106="MET",I106="NOT APPLICABLE",I106="NOT ASSESSED"),0,IF(AND(K106="Yes",J106="PARTIALLY IMPLEMENTED"),3,L106))</f>
        <v/>
      </c>
      <c r="O106" s="16" t="inlineStr">
        <is>
          <t>Not Started</t>
        </is>
      </c>
      <c r="P106" s="16" t="inlineStr"/>
      <c r="Q106" s="16" t="inlineStr"/>
      <c r="R106" s="16" t="inlineStr"/>
      <c r="S106" s="17">
        <f>IF(I106="NOT MET","Yes","No")</f>
        <v/>
      </c>
      <c r="T106" s="17" t="inlineStr"/>
      <c r="U106" s="17" t="inlineStr">
        <is>
          <t>32 CFR 170.24(c)(2) | Current eCFR</t>
        </is>
      </c>
      <c r="V106" s="17">
        <f>IF(I106="MET","Requirement assessed MET; no deduction.",IF(I106="NOT APPLICABLE","Requirement assessed NOT APPLICABLE; no deduction.",IF(I106="NOT ASSESSED","Requirement not assessed; score remains provisional.",IF(M106="Yes","Partial-credit condition applied; 3 points deducted.","Requirement assessed NOT MET; "&amp;L106&amp;" points deducted."))))</f>
        <v/>
      </c>
    </row>
    <row r="107">
      <c r="A107" s="15" t="inlineStr">
        <is>
          <t>SC</t>
        </is>
      </c>
      <c r="B107" s="15" t="inlineStr">
        <is>
          <t>SC.L2-3.13.15</t>
        </is>
      </c>
      <c r="C107" s="15" t="inlineStr">
        <is>
          <t>Communications Authenticity</t>
        </is>
      </c>
      <c r="D107" s="15" t="inlineStr">
        <is>
          <t>Protect the authenticity of communications sessions.</t>
        </is>
      </c>
      <c r="E107" s="15" t="n">
        <v>250</v>
      </c>
      <c r="F107" s="15" t="n">
        <v>251</v>
      </c>
      <c r="G107" s="16" t="inlineStr">
        <is>
          <t>Yes</t>
        </is>
      </c>
      <c r="H107" s="17" t="inlineStr">
        <is>
          <t>FIVE_POINT</t>
        </is>
      </c>
      <c r="I107" s="16" t="inlineStr">
        <is>
          <t>NOT ASSESSED</t>
        </is>
      </c>
      <c r="J107" s="17" t="inlineStr"/>
      <c r="K107" s="17" t="inlineStr">
        <is>
          <t>No</t>
        </is>
      </c>
      <c r="L107" s="17" t="n">
        <v>5</v>
      </c>
      <c r="M107" s="17">
        <f>IF(AND(K107="Yes",I107="NOT MET",J107="PARTIALLY IMPLEMENTED"),"Yes","No")</f>
        <v/>
      </c>
      <c r="N107" s="17">
        <f>IF(OR(I107="MET",I107="NOT APPLICABLE",I107="NOT ASSESSED"),0,IF(AND(K107="Yes",J107="PARTIALLY IMPLEMENTED"),3,L107))</f>
        <v/>
      </c>
      <c r="O107" s="16" t="inlineStr">
        <is>
          <t>Not Started</t>
        </is>
      </c>
      <c r="P107" s="16" t="inlineStr"/>
      <c r="Q107" s="16" t="inlineStr"/>
      <c r="R107" s="16" t="inlineStr"/>
      <c r="S107" s="17">
        <f>IF(I107="NOT MET","Yes","No")</f>
        <v/>
      </c>
      <c r="T107" s="17" t="inlineStr"/>
      <c r="U107" s="17" t="inlineStr">
        <is>
          <t>32 CFR 170.24(c)(2) | Current eCFR</t>
        </is>
      </c>
      <c r="V107" s="17">
        <f>IF(I107="MET","Requirement assessed MET; no deduction.",IF(I107="NOT APPLICABLE","Requirement assessed NOT APPLICABLE; no deduction.",IF(I107="NOT ASSESSED","Requirement not assessed; score remains provisional.",IF(M107="Yes","Partial-credit condition applied; 3 points deducted.","Requirement assessed NOT MET; "&amp;L107&amp;" points deducted."))))</f>
        <v/>
      </c>
    </row>
    <row r="108">
      <c r="A108" s="15" t="inlineStr">
        <is>
          <t>SC</t>
        </is>
      </c>
      <c r="B108" s="15" t="inlineStr">
        <is>
          <t>SC.L2-3.13.16</t>
        </is>
      </c>
      <c r="C108" s="15" t="inlineStr">
        <is>
          <t>Data at Rest</t>
        </is>
      </c>
      <c r="D108" s="15" t="inlineStr">
        <is>
          <t>Protect the confidentiality of CUI at rest.</t>
        </is>
      </c>
      <c r="E108" s="15" t="n">
        <v>252</v>
      </c>
      <c r="F108" s="15" t="n">
        <v>253</v>
      </c>
      <c r="G108" s="16" t="inlineStr">
        <is>
          <t>Yes</t>
        </is>
      </c>
      <c r="H108" s="17" t="inlineStr">
        <is>
          <t>ONE_POINT</t>
        </is>
      </c>
      <c r="I108" s="16" t="inlineStr">
        <is>
          <t>NOT ASSESSED</t>
        </is>
      </c>
      <c r="J108" s="17" t="inlineStr"/>
      <c r="K108" s="17" t="inlineStr">
        <is>
          <t>No</t>
        </is>
      </c>
      <c r="L108" s="17" t="n">
        <v>1</v>
      </c>
      <c r="M108" s="17">
        <f>IF(AND(K108="Yes",I108="NOT MET",J108="PARTIALLY IMPLEMENTED"),"Yes","No")</f>
        <v/>
      </c>
      <c r="N108" s="17">
        <f>IF(OR(I108="MET",I108="NOT APPLICABLE",I108="NOT ASSESSED"),0,IF(AND(K108="Yes",J108="PARTIALLY IMPLEMENTED"),3,L108))</f>
        <v/>
      </c>
      <c r="O108" s="16" t="inlineStr">
        <is>
          <t>Not Started</t>
        </is>
      </c>
      <c r="P108" s="16" t="inlineStr"/>
      <c r="Q108" s="16" t="inlineStr"/>
      <c r="R108" s="16" t="inlineStr"/>
      <c r="S108" s="17">
        <f>IF(I108="NOT MET","Yes","No")</f>
        <v/>
      </c>
      <c r="T108" s="17" t="inlineStr"/>
      <c r="U108" s="17" t="inlineStr">
        <is>
          <t>32 CFR 170.24(c)(2) | Current eCFR</t>
        </is>
      </c>
      <c r="V108" s="17">
        <f>IF(I108="MET","Requirement assessed MET; no deduction.",IF(I108="NOT APPLICABLE","Requirement assessed NOT APPLICABLE; no deduction.",IF(I108="NOT ASSESSED","Requirement not assessed; score remains provisional.",IF(M108="Yes","Partial-credit condition applied; 3 points deducted.","Requirement assessed NOT MET; "&amp;L108&amp;" points deducted."))))</f>
        <v/>
      </c>
    </row>
    <row r="109">
      <c r="A109" s="15" t="inlineStr">
        <is>
          <t>SI</t>
        </is>
      </c>
      <c r="B109" s="15" t="inlineStr">
        <is>
          <t>SI.L2-3.14.1</t>
        </is>
      </c>
      <c r="C109" s="15" t="inlineStr">
        <is>
          <t>Flaw Remediation [CUI Data]</t>
        </is>
      </c>
      <c r="D109" s="15" t="inlineStr">
        <is>
          <t>Identify, report, and correct system flaws in a timely manner.</t>
        </is>
      </c>
      <c r="E109" s="15" t="n">
        <v>254</v>
      </c>
      <c r="F109" s="15" t="n">
        <v>256</v>
      </c>
      <c r="G109" s="16" t="inlineStr">
        <is>
          <t>Yes</t>
        </is>
      </c>
      <c r="H109" s="17" t="inlineStr">
        <is>
          <t>FIVE_POINT</t>
        </is>
      </c>
      <c r="I109" s="16" t="inlineStr">
        <is>
          <t>NOT ASSESSED</t>
        </is>
      </c>
      <c r="J109" s="17" t="inlineStr"/>
      <c r="K109" s="17" t="inlineStr">
        <is>
          <t>No</t>
        </is>
      </c>
      <c r="L109" s="17" t="n">
        <v>5</v>
      </c>
      <c r="M109" s="17">
        <f>IF(AND(K109="Yes",I109="NOT MET",J109="PARTIALLY IMPLEMENTED"),"Yes","No")</f>
        <v/>
      </c>
      <c r="N109" s="17">
        <f>IF(OR(I109="MET",I109="NOT APPLICABLE",I109="NOT ASSESSED"),0,IF(AND(K109="Yes",J109="PARTIALLY IMPLEMENTED"),3,L109))</f>
        <v/>
      </c>
      <c r="O109" s="16" t="inlineStr">
        <is>
          <t>Not Started</t>
        </is>
      </c>
      <c r="P109" s="16" t="inlineStr"/>
      <c r="Q109" s="16" t="inlineStr"/>
      <c r="R109" s="16" t="inlineStr"/>
      <c r="S109" s="17">
        <f>IF(I109="NOT MET","Yes","No")</f>
        <v/>
      </c>
      <c r="T109" s="17" t="inlineStr"/>
      <c r="U109" s="17" t="inlineStr">
        <is>
          <t>32 CFR 170.24(c)(2) | Current eCFR</t>
        </is>
      </c>
      <c r="V109" s="17">
        <f>IF(I109="MET","Requirement assessed MET; no deduction.",IF(I109="NOT APPLICABLE","Requirement assessed NOT APPLICABLE; no deduction.",IF(I109="NOT ASSESSED","Requirement not assessed; score remains provisional.",IF(M109="Yes","Partial-credit condition applied; 3 points deducted.","Requirement assessed NOT MET; "&amp;L109&amp;" points deducted."))))</f>
        <v/>
      </c>
    </row>
    <row r="110">
      <c r="A110" s="15" t="inlineStr">
        <is>
          <t>SI</t>
        </is>
      </c>
      <c r="B110" s="15" t="inlineStr">
        <is>
          <t>SI.L2-3.14.2</t>
        </is>
      </c>
      <c r="C110" s="15" t="inlineStr">
        <is>
          <t>Malicious Code Protection [CUI Data]</t>
        </is>
      </c>
      <c r="D110" s="15" t="inlineStr">
        <is>
          <t>Provide protection from malicious code at designated locations within organizational systems.</t>
        </is>
      </c>
      <c r="E110" s="15" t="n">
        <v>257</v>
      </c>
      <c r="F110" s="15" t="n">
        <v>259</v>
      </c>
      <c r="G110" s="16" t="inlineStr">
        <is>
          <t>Yes</t>
        </is>
      </c>
      <c r="H110" s="17" t="inlineStr">
        <is>
          <t>FIVE_POINT</t>
        </is>
      </c>
      <c r="I110" s="16" t="inlineStr">
        <is>
          <t>NOT ASSESSED</t>
        </is>
      </c>
      <c r="J110" s="17" t="inlineStr"/>
      <c r="K110" s="17" t="inlineStr">
        <is>
          <t>No</t>
        </is>
      </c>
      <c r="L110" s="17" t="n">
        <v>5</v>
      </c>
      <c r="M110" s="17">
        <f>IF(AND(K110="Yes",I110="NOT MET",J110="PARTIALLY IMPLEMENTED"),"Yes","No")</f>
        <v/>
      </c>
      <c r="N110" s="17">
        <f>IF(OR(I110="MET",I110="NOT APPLICABLE",I110="NOT ASSESSED"),0,IF(AND(K110="Yes",J110="PARTIALLY IMPLEMENTED"),3,L110))</f>
        <v/>
      </c>
      <c r="O110" s="16" t="inlineStr">
        <is>
          <t>Not Started</t>
        </is>
      </c>
      <c r="P110" s="16" t="inlineStr"/>
      <c r="Q110" s="16" t="inlineStr"/>
      <c r="R110" s="16" t="inlineStr"/>
      <c r="S110" s="17">
        <f>IF(I110="NOT MET","Yes","No")</f>
        <v/>
      </c>
      <c r="T110" s="17" t="inlineStr"/>
      <c r="U110" s="17" t="inlineStr">
        <is>
          <t>32 CFR 170.24(c)(2) | Current eCFR</t>
        </is>
      </c>
      <c r="V110" s="17">
        <f>IF(I110="MET","Requirement assessed MET; no deduction.",IF(I110="NOT APPLICABLE","Requirement assessed NOT APPLICABLE; no deduction.",IF(I110="NOT ASSESSED","Requirement not assessed; score remains provisional.",IF(M110="Yes","Partial-credit condition applied; 3 points deducted.","Requirement assessed NOT MET; "&amp;L110&amp;" points deducted."))))</f>
        <v/>
      </c>
    </row>
    <row r="111">
      <c r="A111" s="15" t="inlineStr">
        <is>
          <t>SI</t>
        </is>
      </c>
      <c r="B111" s="15" t="inlineStr">
        <is>
          <t>SI.L2-3.14.3</t>
        </is>
      </c>
      <c r="C111" s="15" t="inlineStr">
        <is>
          <t>Security Alerts &amp; Advisories</t>
        </is>
      </c>
      <c r="D111" s="15" t="inlineStr">
        <is>
          <t>Monitor system security alerts and advisories and take action in response.</t>
        </is>
      </c>
      <c r="E111" s="15" t="n">
        <v>260</v>
      </c>
      <c r="F111" s="15" t="n">
        <v>261</v>
      </c>
      <c r="G111" s="16" t="inlineStr">
        <is>
          <t>Yes</t>
        </is>
      </c>
      <c r="H111" s="17" t="inlineStr">
        <is>
          <t>FIVE_POINT</t>
        </is>
      </c>
      <c r="I111" s="16" t="inlineStr">
        <is>
          <t>NOT ASSESSED</t>
        </is>
      </c>
      <c r="J111" s="17" t="inlineStr"/>
      <c r="K111" s="17" t="inlineStr">
        <is>
          <t>No</t>
        </is>
      </c>
      <c r="L111" s="17" t="n">
        <v>5</v>
      </c>
      <c r="M111" s="17">
        <f>IF(AND(K111="Yes",I111="NOT MET",J111="PARTIALLY IMPLEMENTED"),"Yes","No")</f>
        <v/>
      </c>
      <c r="N111" s="17">
        <f>IF(OR(I111="MET",I111="NOT APPLICABLE",I111="NOT ASSESSED"),0,IF(AND(K111="Yes",J111="PARTIALLY IMPLEMENTED"),3,L111))</f>
        <v/>
      </c>
      <c r="O111" s="16" t="inlineStr">
        <is>
          <t>Not Started</t>
        </is>
      </c>
      <c r="P111" s="16" t="inlineStr"/>
      <c r="Q111" s="16" t="inlineStr"/>
      <c r="R111" s="16" t="inlineStr"/>
      <c r="S111" s="17">
        <f>IF(I111="NOT MET","Yes","No")</f>
        <v/>
      </c>
      <c r="T111" s="17" t="inlineStr"/>
      <c r="U111" s="17" t="inlineStr">
        <is>
          <t>32 CFR 170.24(c)(2) | Current eCFR</t>
        </is>
      </c>
      <c r="V111" s="17">
        <f>IF(I111="MET","Requirement assessed MET; no deduction.",IF(I111="NOT APPLICABLE","Requirement assessed NOT APPLICABLE; no deduction.",IF(I111="NOT ASSESSED","Requirement not assessed; score remains provisional.",IF(M111="Yes","Partial-credit condition applied; 3 points deducted.","Requirement assessed NOT MET; "&amp;L111&amp;" points deducted."))))</f>
        <v/>
      </c>
    </row>
    <row r="112">
      <c r="A112" s="15" t="inlineStr">
        <is>
          <t>SI</t>
        </is>
      </c>
      <c r="B112" s="15" t="inlineStr">
        <is>
          <t>SI.L2-3.14.4</t>
        </is>
      </c>
      <c r="C112" s="15" t="inlineStr">
        <is>
          <t>Update Malicious Code Protection [CUI Data]</t>
        </is>
      </c>
      <c r="D112" s="15" t="inlineStr">
        <is>
          <t>Update malicious code protection mechanisms when new releases are available.</t>
        </is>
      </c>
      <c r="E112" s="15" t="n">
        <v>262</v>
      </c>
      <c r="F112" s="15" t="n">
        <v>263</v>
      </c>
      <c r="G112" s="16" t="inlineStr">
        <is>
          <t>Yes</t>
        </is>
      </c>
      <c r="H112" s="17" t="inlineStr">
        <is>
          <t>FIVE_POINT</t>
        </is>
      </c>
      <c r="I112" s="16" t="inlineStr">
        <is>
          <t>NOT ASSESSED</t>
        </is>
      </c>
      <c r="J112" s="17" t="inlineStr"/>
      <c r="K112" s="17" t="inlineStr">
        <is>
          <t>No</t>
        </is>
      </c>
      <c r="L112" s="17" t="n">
        <v>5</v>
      </c>
      <c r="M112" s="17">
        <f>IF(AND(K112="Yes",I112="NOT MET",J112="PARTIALLY IMPLEMENTED"),"Yes","No")</f>
        <v/>
      </c>
      <c r="N112" s="17">
        <f>IF(OR(I112="MET",I112="NOT APPLICABLE",I112="NOT ASSESSED"),0,IF(AND(K112="Yes",J112="PARTIALLY IMPLEMENTED"),3,L112))</f>
        <v/>
      </c>
      <c r="O112" s="16" t="inlineStr">
        <is>
          <t>Not Started</t>
        </is>
      </c>
      <c r="P112" s="16" t="inlineStr"/>
      <c r="Q112" s="16" t="inlineStr"/>
      <c r="R112" s="16" t="inlineStr"/>
      <c r="S112" s="17">
        <f>IF(I112="NOT MET","Yes","No")</f>
        <v/>
      </c>
      <c r="T112" s="17" t="inlineStr"/>
      <c r="U112" s="17" t="inlineStr">
        <is>
          <t>32 CFR 170.24(c)(2) | Current eCFR</t>
        </is>
      </c>
      <c r="V112" s="17">
        <f>IF(I112="MET","Requirement assessed MET; no deduction.",IF(I112="NOT APPLICABLE","Requirement assessed NOT APPLICABLE; no deduction.",IF(I112="NOT ASSESSED","Requirement not assessed; score remains provisional.",IF(M112="Yes","Partial-credit condition applied; 3 points deducted.","Requirement assessed NOT MET; "&amp;L112&amp;" points deducted."))))</f>
        <v/>
      </c>
    </row>
    <row r="113">
      <c r="A113" s="15" t="inlineStr">
        <is>
          <t>SI</t>
        </is>
      </c>
      <c r="B113" s="15" t="inlineStr">
        <is>
          <t>SI.L2-3.14.5</t>
        </is>
      </c>
      <c r="C113" s="15" t="inlineStr">
        <is>
          <t>System &amp; File Scanning [CUI Data]</t>
        </is>
      </c>
      <c r="D113" s="15" t="inlineStr">
        <is>
          <t>Perform periodic scans of organizational systems and real -time scans of files from external sources as files are downloaded, opened, or executed.</t>
        </is>
      </c>
      <c r="E113" s="15" t="n">
        <v>264</v>
      </c>
      <c r="F113" s="15" t="n">
        <v>265</v>
      </c>
      <c r="G113" s="16" t="inlineStr">
        <is>
          <t>Yes</t>
        </is>
      </c>
      <c r="H113" s="17" t="inlineStr">
        <is>
          <t>THREE_POINT</t>
        </is>
      </c>
      <c r="I113" s="16" t="inlineStr">
        <is>
          <t>NOT ASSESSED</t>
        </is>
      </c>
      <c r="J113" s="17" t="inlineStr"/>
      <c r="K113" s="17" t="inlineStr">
        <is>
          <t>No</t>
        </is>
      </c>
      <c r="L113" s="17" t="n">
        <v>3</v>
      </c>
      <c r="M113" s="17">
        <f>IF(AND(K113="Yes",I113="NOT MET",J113="PARTIALLY IMPLEMENTED"),"Yes","No")</f>
        <v/>
      </c>
      <c r="N113" s="17">
        <f>IF(OR(I113="MET",I113="NOT APPLICABLE",I113="NOT ASSESSED"),0,IF(AND(K113="Yes",J113="PARTIALLY IMPLEMENTED"),3,L113))</f>
        <v/>
      </c>
      <c r="O113" s="16" t="inlineStr">
        <is>
          <t>Not Started</t>
        </is>
      </c>
      <c r="P113" s="16" t="inlineStr"/>
      <c r="Q113" s="16" t="inlineStr"/>
      <c r="R113" s="16" t="inlineStr"/>
      <c r="S113" s="17">
        <f>IF(I113="NOT MET","Yes","No")</f>
        <v/>
      </c>
      <c r="T113" s="17" t="inlineStr"/>
      <c r="U113" s="17" t="inlineStr">
        <is>
          <t>32 CFR 170.24(c)(2) | Current eCFR</t>
        </is>
      </c>
      <c r="V113" s="17">
        <f>IF(I113="MET","Requirement assessed MET; no deduction.",IF(I113="NOT APPLICABLE","Requirement assessed NOT APPLICABLE; no deduction.",IF(I113="NOT ASSESSED","Requirement not assessed; score remains provisional.",IF(M113="Yes","Partial-credit condition applied; 3 points deducted.","Requirement assessed NOT MET; "&amp;L113&amp;" points deducted."))))</f>
        <v/>
      </c>
    </row>
    <row r="114">
      <c r="A114" s="15" t="inlineStr">
        <is>
          <t>SI</t>
        </is>
      </c>
      <c r="B114" s="15" t="inlineStr">
        <is>
          <t>SI.L2-3.14.6</t>
        </is>
      </c>
      <c r="C114" s="15" t="inlineStr">
        <is>
          <t>Monitor Communications for Attacks</t>
        </is>
      </c>
      <c r="D114" s="15" t="inlineStr">
        <is>
          <t>Monitor organizational systems, including inbound and outbound communications traffic, to detect attacks and indicators of potential attacks.</t>
        </is>
      </c>
      <c r="E114" s="15" t="n">
        <v>266</v>
      </c>
      <c r="F114" s="15" t="n">
        <v>268</v>
      </c>
      <c r="G114" s="16" t="inlineStr">
        <is>
          <t>Yes</t>
        </is>
      </c>
      <c r="H114" s="17" t="inlineStr">
        <is>
          <t>FIVE_POINT</t>
        </is>
      </c>
      <c r="I114" s="16" t="inlineStr">
        <is>
          <t>NOT ASSESSED</t>
        </is>
      </c>
      <c r="J114" s="17" t="inlineStr"/>
      <c r="K114" s="17" t="inlineStr">
        <is>
          <t>No</t>
        </is>
      </c>
      <c r="L114" s="17" t="n">
        <v>5</v>
      </c>
      <c r="M114" s="17">
        <f>IF(AND(K114="Yes",I114="NOT MET",J114="PARTIALLY IMPLEMENTED"),"Yes","No")</f>
        <v/>
      </c>
      <c r="N114" s="17">
        <f>IF(OR(I114="MET",I114="NOT APPLICABLE",I114="NOT ASSESSED"),0,IF(AND(K114="Yes",J114="PARTIALLY IMPLEMENTED"),3,L114))</f>
        <v/>
      </c>
      <c r="O114" s="16" t="inlineStr">
        <is>
          <t>Not Started</t>
        </is>
      </c>
      <c r="P114" s="16" t="inlineStr"/>
      <c r="Q114" s="16" t="inlineStr"/>
      <c r="R114" s="16" t="inlineStr"/>
      <c r="S114" s="17">
        <f>IF(I114="NOT MET","Yes","No")</f>
        <v/>
      </c>
      <c r="T114" s="17" t="inlineStr"/>
      <c r="U114" s="17" t="inlineStr">
        <is>
          <t>32 CFR 170.24(c)(2) | Current eCFR</t>
        </is>
      </c>
      <c r="V114" s="17">
        <f>IF(I114="MET","Requirement assessed MET; no deduction.",IF(I114="NOT APPLICABLE","Requirement assessed NOT APPLICABLE; no deduction.",IF(I114="NOT ASSESSED","Requirement not assessed; score remains provisional.",IF(M114="Yes","Partial-credit condition applied; 3 points deducted.","Requirement assessed NOT MET; "&amp;L114&amp;" points deducted."))))</f>
        <v/>
      </c>
    </row>
    <row r="115">
      <c r="A115" s="15" t="inlineStr">
        <is>
          <t>SI</t>
        </is>
      </c>
      <c r="B115" s="15" t="inlineStr">
        <is>
          <t>SI.L2-3.14.7</t>
        </is>
      </c>
      <c r="C115" s="15" t="inlineStr">
        <is>
          <t>Identify Unauthorized Use</t>
        </is>
      </c>
      <c r="D115" s="15" t="inlineStr">
        <is>
          <t>Identify unauthorized use of organizational systems.</t>
        </is>
      </c>
      <c r="E115" s="15" t="n">
        <v>269</v>
      </c>
      <c r="F115" s="15" t="n">
        <v>276</v>
      </c>
      <c r="G115" s="16" t="inlineStr">
        <is>
          <t>Yes</t>
        </is>
      </c>
      <c r="H115" s="17" t="inlineStr">
        <is>
          <t>THREE_POINT</t>
        </is>
      </c>
      <c r="I115" s="16" t="inlineStr">
        <is>
          <t>NOT ASSESSED</t>
        </is>
      </c>
      <c r="J115" s="17" t="inlineStr"/>
      <c r="K115" s="17" t="inlineStr">
        <is>
          <t>No</t>
        </is>
      </c>
      <c r="L115" s="17" t="n">
        <v>3</v>
      </c>
      <c r="M115" s="17">
        <f>IF(AND(K115="Yes",I115="NOT MET",J115="PARTIALLY IMPLEMENTED"),"Yes","No")</f>
        <v/>
      </c>
      <c r="N115" s="17">
        <f>IF(OR(I115="MET",I115="NOT APPLICABLE",I115="NOT ASSESSED"),0,IF(AND(K115="Yes",J115="PARTIALLY IMPLEMENTED"),3,L115))</f>
        <v/>
      </c>
      <c r="O115" s="16" t="inlineStr">
        <is>
          <t>Not Started</t>
        </is>
      </c>
      <c r="P115" s="16" t="inlineStr"/>
      <c r="Q115" s="16" t="inlineStr"/>
      <c r="R115" s="16" t="inlineStr"/>
      <c r="S115" s="17">
        <f>IF(I115="NOT MET","Yes","No")</f>
        <v/>
      </c>
      <c r="T115" s="17" t="inlineStr"/>
      <c r="U115" s="17" t="inlineStr">
        <is>
          <t>32 CFR 170.24(c)(2) | Current eCFR</t>
        </is>
      </c>
      <c r="V115" s="17">
        <f>IF(I115="MET","Requirement assessed MET; no deduction.",IF(I115="NOT APPLICABLE","Requirement assessed NOT APPLICABLE; no deduction.",IF(I115="NOT ASSESSED","Requirement not assessed; score remains provisional.",IF(M115="Yes","Partial-credit condition applied; 3 points deducted.","Requirement assessed NOT MET; "&amp;L115&amp;" points deducted."))))</f>
        <v/>
      </c>
    </row>
    <row r="116"/>
  </sheetData>
  <autoFilter ref="A5:V115"/>
  <mergeCells count="2">
    <mergeCell ref="A1:V2"/>
    <mergeCell ref="A3:V3"/>
  </mergeCells>
  <conditionalFormatting sqref="I6:I115">
    <cfRule type="expression" priority="1" dxfId="0">
      <formula>I6="MET"</formula>
    </cfRule>
    <cfRule type="expression" priority="2" dxfId="1">
      <formula>I6="NOT MET"</formula>
    </cfRule>
    <cfRule type="expression" priority="3" dxfId="2">
      <formula>I6="NOT ASSESSED"</formula>
    </cfRule>
  </conditionalFormatting>
  <conditionalFormatting sqref="M6:M115">
    <cfRule type="expression" priority="4" dxfId="2">
      <formula>M6="Yes"</formula>
    </cfRule>
  </conditionalFormatting>
  <conditionalFormatting sqref="S6:S115">
    <cfRule type="expression" priority="5" dxfId="1">
      <formula>S6="Yes"</formula>
    </cfRule>
  </conditionalFormatting>
  <dataValidations count="4">
    <dataValidation sqref="G6:G115" showDropDown="0" showInputMessage="0" showErrorMessage="0" allowBlank="0" type="list">
      <formula1>"Yes,No"</formula1>
    </dataValidation>
    <dataValidation sqref="I6:I115" showDropDown="0" showInputMessage="0" showErrorMessage="0" allowBlank="0" type="list">
      <formula1>"MET,NOT MET,NOT APPLICABLE,NOT ASSESSED"</formula1>
    </dataValidation>
    <dataValidation sqref="J6:J115" showDropDown="0" showInputMessage="0" showErrorMessage="0" allowBlank="1" type="list">
      <formula1>"FULLY IMPLEMENTED,PARTIALLY IMPLEMENTED,NOT IMPLEMENTED,NOT APPLICABLE,NOT ASSESSED"</formula1>
    </dataValidation>
    <dataValidation sqref="O6:O115" showDropDown="0" showInputMessage="0" showErrorMessage="0" allowBlank="0" type="list">
      <formula1>"Not Started,In Progress,Complete,Not Applicable"</formula1>
    </dataValidation>
  </dataValidations>
  <pageMargins left="0.25" right="0.25" top="0.5" bottom="0.5"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J19"/>
  <sheetViews>
    <sheetView showGridLines="0" zoomScale="90" workbookViewId="0">
      <pane ySplit="5" topLeftCell="A6"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s>
  <sheetData>
    <row r="1" ht="26" customHeight="1">
      <c r="A1" s="1" t="inlineStr">
        <is>
          <t>Domain Summary</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Weighted scoring, completion, and findings by CMMC domain</t>
        </is>
      </c>
      <c r="B3" s="2" t="n"/>
      <c r="C3" s="2" t="n"/>
      <c r="D3" s="2" t="n"/>
      <c r="E3" s="2" t="n"/>
      <c r="F3" s="2" t="n"/>
      <c r="G3" s="2" t="n"/>
      <c r="H3" s="2" t="n"/>
      <c r="I3" s="2" t="n"/>
      <c r="J3" s="2" t="n"/>
    </row>
    <row r="5" ht="32" customHeight="1">
      <c r="A5" s="8" t="inlineStr">
        <is>
          <t>Domain</t>
        </is>
      </c>
      <c r="B5" s="8" t="inlineStr">
        <is>
          <t>Requirement Count</t>
        </is>
      </c>
      <c r="C5" s="8" t="inlineStr">
        <is>
          <t>Met</t>
        </is>
      </c>
      <c r="D5" s="8" t="inlineStr">
        <is>
          <t>Not Met</t>
        </is>
      </c>
      <c r="E5" s="8" t="inlineStr">
        <is>
          <t>Not Assessed</t>
        </is>
      </c>
      <c r="F5" s="8" t="inlineStr">
        <is>
          <t>Full Weight</t>
        </is>
      </c>
      <c r="G5" s="8" t="inlineStr">
        <is>
          <t>Current Deduction</t>
        </is>
      </c>
      <c r="H5" s="8" t="inlineStr">
        <is>
          <t>Completion %</t>
        </is>
      </c>
      <c r="I5" s="8" t="inlineStr">
        <is>
          <t>Domain Score</t>
        </is>
      </c>
      <c r="J5" s="8" t="inlineStr">
        <is>
          <t>Readiness</t>
        </is>
      </c>
    </row>
    <row r="6">
      <c r="A6" s="18" t="inlineStr">
        <is>
          <t>AC</t>
        </is>
      </c>
      <c r="B6" s="18">
        <f>COUNTIF(Assessment!$A$6:$A$115,A6)</f>
        <v/>
      </c>
      <c r="C6" s="18">
        <f>COUNTIFS(Assessment!$A$6:$A$115,A6,Assessment!$I$6:$I$115,"MET")</f>
        <v/>
      </c>
      <c r="D6" s="18">
        <f>COUNTIFS(Assessment!$A$6:$A$115,A6,Assessment!$I$6:$I$115,"NOT MET")</f>
        <v/>
      </c>
      <c r="E6" s="18">
        <f>COUNTIFS(Assessment!$A$6:$A$115,A6,Assessment!$I$6:$I$115,"NOT ASSESSED")</f>
        <v/>
      </c>
      <c r="F6" s="18">
        <f>SUMIF(Assessment!$A$6:$A$115,A6,Assessment!$L$6:$L$115)</f>
        <v/>
      </c>
      <c r="G6" s="18">
        <f>SUMIF(Assessment!$A$6:$A$115,A6,Assessment!$N$6:$N$115)</f>
        <v/>
      </c>
      <c r="H6" s="19">
        <f>IF(B6=0,0,(B6-E6)/B6)</f>
        <v/>
      </c>
      <c r="I6" s="18">
        <f>F6-G6</f>
        <v/>
      </c>
      <c r="J6" s="18">
        <f>IF(E6&gt;0,"INCOMPLETE",IF(D6=0,"READY","NEEDS WORK"))</f>
        <v/>
      </c>
    </row>
    <row r="7">
      <c r="A7" s="18" t="inlineStr">
        <is>
          <t>AT</t>
        </is>
      </c>
      <c r="B7" s="18">
        <f>COUNTIF(Assessment!$A$6:$A$115,A7)</f>
        <v/>
      </c>
      <c r="C7" s="18">
        <f>COUNTIFS(Assessment!$A$6:$A$115,A7,Assessment!$I$6:$I$115,"MET")</f>
        <v/>
      </c>
      <c r="D7" s="18">
        <f>COUNTIFS(Assessment!$A$6:$A$115,A7,Assessment!$I$6:$I$115,"NOT MET")</f>
        <v/>
      </c>
      <c r="E7" s="18">
        <f>COUNTIFS(Assessment!$A$6:$A$115,A7,Assessment!$I$6:$I$115,"NOT ASSESSED")</f>
        <v/>
      </c>
      <c r="F7" s="18">
        <f>SUMIF(Assessment!$A$6:$A$115,A7,Assessment!$L$6:$L$115)</f>
        <v/>
      </c>
      <c r="G7" s="18">
        <f>SUMIF(Assessment!$A$6:$A$115,A7,Assessment!$N$6:$N$115)</f>
        <v/>
      </c>
      <c r="H7" s="19">
        <f>IF(B7=0,0,(B7-E7)/B7)</f>
        <v/>
      </c>
      <c r="I7" s="18">
        <f>F7-G7</f>
        <v/>
      </c>
      <c r="J7" s="18">
        <f>IF(E7&gt;0,"INCOMPLETE",IF(D7=0,"READY","NEEDS WORK"))</f>
        <v/>
      </c>
    </row>
    <row r="8">
      <c r="A8" s="18" t="inlineStr">
        <is>
          <t>AU</t>
        </is>
      </c>
      <c r="B8" s="18">
        <f>COUNTIF(Assessment!$A$6:$A$115,A8)</f>
        <v/>
      </c>
      <c r="C8" s="18">
        <f>COUNTIFS(Assessment!$A$6:$A$115,A8,Assessment!$I$6:$I$115,"MET")</f>
        <v/>
      </c>
      <c r="D8" s="18">
        <f>COUNTIFS(Assessment!$A$6:$A$115,A8,Assessment!$I$6:$I$115,"NOT MET")</f>
        <v/>
      </c>
      <c r="E8" s="18">
        <f>COUNTIFS(Assessment!$A$6:$A$115,A8,Assessment!$I$6:$I$115,"NOT ASSESSED")</f>
        <v/>
      </c>
      <c r="F8" s="18">
        <f>SUMIF(Assessment!$A$6:$A$115,A8,Assessment!$L$6:$L$115)</f>
        <v/>
      </c>
      <c r="G8" s="18">
        <f>SUMIF(Assessment!$A$6:$A$115,A8,Assessment!$N$6:$N$115)</f>
        <v/>
      </c>
      <c r="H8" s="19">
        <f>IF(B8=0,0,(B8-E8)/B8)</f>
        <v/>
      </c>
      <c r="I8" s="18">
        <f>F8-G8</f>
        <v/>
      </c>
      <c r="J8" s="18">
        <f>IF(E8&gt;0,"INCOMPLETE",IF(D8=0,"READY","NEEDS WORK"))</f>
        <v/>
      </c>
    </row>
    <row r="9">
      <c r="A9" s="18" t="inlineStr">
        <is>
          <t>CM</t>
        </is>
      </c>
      <c r="B9" s="18">
        <f>COUNTIF(Assessment!$A$6:$A$115,A9)</f>
        <v/>
      </c>
      <c r="C9" s="18">
        <f>COUNTIFS(Assessment!$A$6:$A$115,A9,Assessment!$I$6:$I$115,"MET")</f>
        <v/>
      </c>
      <c r="D9" s="18">
        <f>COUNTIFS(Assessment!$A$6:$A$115,A9,Assessment!$I$6:$I$115,"NOT MET")</f>
        <v/>
      </c>
      <c r="E9" s="18">
        <f>COUNTIFS(Assessment!$A$6:$A$115,A9,Assessment!$I$6:$I$115,"NOT ASSESSED")</f>
        <v/>
      </c>
      <c r="F9" s="18">
        <f>SUMIF(Assessment!$A$6:$A$115,A9,Assessment!$L$6:$L$115)</f>
        <v/>
      </c>
      <c r="G9" s="18">
        <f>SUMIF(Assessment!$A$6:$A$115,A9,Assessment!$N$6:$N$115)</f>
        <v/>
      </c>
      <c r="H9" s="19">
        <f>IF(B9=0,0,(B9-E9)/B9)</f>
        <v/>
      </c>
      <c r="I9" s="18">
        <f>F9-G9</f>
        <v/>
      </c>
      <c r="J9" s="18">
        <f>IF(E9&gt;0,"INCOMPLETE",IF(D9=0,"READY","NEEDS WORK"))</f>
        <v/>
      </c>
    </row>
    <row r="10">
      <c r="A10" s="18" t="inlineStr">
        <is>
          <t>IA</t>
        </is>
      </c>
      <c r="B10" s="18">
        <f>COUNTIF(Assessment!$A$6:$A$115,A10)</f>
        <v/>
      </c>
      <c r="C10" s="18">
        <f>COUNTIFS(Assessment!$A$6:$A$115,A10,Assessment!$I$6:$I$115,"MET")</f>
        <v/>
      </c>
      <c r="D10" s="18">
        <f>COUNTIFS(Assessment!$A$6:$A$115,A10,Assessment!$I$6:$I$115,"NOT MET")</f>
        <v/>
      </c>
      <c r="E10" s="18">
        <f>COUNTIFS(Assessment!$A$6:$A$115,A10,Assessment!$I$6:$I$115,"NOT ASSESSED")</f>
        <v/>
      </c>
      <c r="F10" s="18">
        <f>SUMIF(Assessment!$A$6:$A$115,A10,Assessment!$L$6:$L$115)</f>
        <v/>
      </c>
      <c r="G10" s="18">
        <f>SUMIF(Assessment!$A$6:$A$115,A10,Assessment!$N$6:$N$115)</f>
        <v/>
      </c>
      <c r="H10" s="19">
        <f>IF(B10=0,0,(B10-E10)/B10)</f>
        <v/>
      </c>
      <c r="I10" s="18">
        <f>F10-G10</f>
        <v/>
      </c>
      <c r="J10" s="18">
        <f>IF(E10&gt;0,"INCOMPLETE",IF(D10=0,"READY","NEEDS WORK"))</f>
        <v/>
      </c>
    </row>
    <row r="11">
      <c r="A11" s="18" t="inlineStr">
        <is>
          <t>IR</t>
        </is>
      </c>
      <c r="B11" s="18">
        <f>COUNTIF(Assessment!$A$6:$A$115,A11)</f>
        <v/>
      </c>
      <c r="C11" s="18">
        <f>COUNTIFS(Assessment!$A$6:$A$115,A11,Assessment!$I$6:$I$115,"MET")</f>
        <v/>
      </c>
      <c r="D11" s="18">
        <f>COUNTIFS(Assessment!$A$6:$A$115,A11,Assessment!$I$6:$I$115,"NOT MET")</f>
        <v/>
      </c>
      <c r="E11" s="18">
        <f>COUNTIFS(Assessment!$A$6:$A$115,A11,Assessment!$I$6:$I$115,"NOT ASSESSED")</f>
        <v/>
      </c>
      <c r="F11" s="18">
        <f>SUMIF(Assessment!$A$6:$A$115,A11,Assessment!$L$6:$L$115)</f>
        <v/>
      </c>
      <c r="G11" s="18">
        <f>SUMIF(Assessment!$A$6:$A$115,A11,Assessment!$N$6:$N$115)</f>
        <v/>
      </c>
      <c r="H11" s="19">
        <f>IF(B11=0,0,(B11-E11)/B11)</f>
        <v/>
      </c>
      <c r="I11" s="18">
        <f>F11-G11</f>
        <v/>
      </c>
      <c r="J11" s="18">
        <f>IF(E11&gt;0,"INCOMPLETE",IF(D11=0,"READY","NEEDS WORK"))</f>
        <v/>
      </c>
    </row>
    <row r="12">
      <c r="A12" s="18" t="inlineStr">
        <is>
          <t>MA</t>
        </is>
      </c>
      <c r="B12" s="18">
        <f>COUNTIF(Assessment!$A$6:$A$115,A12)</f>
        <v/>
      </c>
      <c r="C12" s="18">
        <f>COUNTIFS(Assessment!$A$6:$A$115,A12,Assessment!$I$6:$I$115,"MET")</f>
        <v/>
      </c>
      <c r="D12" s="18">
        <f>COUNTIFS(Assessment!$A$6:$A$115,A12,Assessment!$I$6:$I$115,"NOT MET")</f>
        <v/>
      </c>
      <c r="E12" s="18">
        <f>COUNTIFS(Assessment!$A$6:$A$115,A12,Assessment!$I$6:$I$115,"NOT ASSESSED")</f>
        <v/>
      </c>
      <c r="F12" s="18">
        <f>SUMIF(Assessment!$A$6:$A$115,A12,Assessment!$L$6:$L$115)</f>
        <v/>
      </c>
      <c r="G12" s="18">
        <f>SUMIF(Assessment!$A$6:$A$115,A12,Assessment!$N$6:$N$115)</f>
        <v/>
      </c>
      <c r="H12" s="19">
        <f>IF(B12=0,0,(B12-E12)/B12)</f>
        <v/>
      </c>
      <c r="I12" s="18">
        <f>F12-G12</f>
        <v/>
      </c>
      <c r="J12" s="18">
        <f>IF(E12&gt;0,"INCOMPLETE",IF(D12=0,"READY","NEEDS WORK"))</f>
        <v/>
      </c>
    </row>
    <row r="13">
      <c r="A13" s="18" t="inlineStr">
        <is>
          <t>MP</t>
        </is>
      </c>
      <c r="B13" s="18">
        <f>COUNTIF(Assessment!$A$6:$A$115,A13)</f>
        <v/>
      </c>
      <c r="C13" s="18">
        <f>COUNTIFS(Assessment!$A$6:$A$115,A13,Assessment!$I$6:$I$115,"MET")</f>
        <v/>
      </c>
      <c r="D13" s="18">
        <f>COUNTIFS(Assessment!$A$6:$A$115,A13,Assessment!$I$6:$I$115,"NOT MET")</f>
        <v/>
      </c>
      <c r="E13" s="18">
        <f>COUNTIFS(Assessment!$A$6:$A$115,A13,Assessment!$I$6:$I$115,"NOT ASSESSED")</f>
        <v/>
      </c>
      <c r="F13" s="18">
        <f>SUMIF(Assessment!$A$6:$A$115,A13,Assessment!$L$6:$L$115)</f>
        <v/>
      </c>
      <c r="G13" s="18">
        <f>SUMIF(Assessment!$A$6:$A$115,A13,Assessment!$N$6:$N$115)</f>
        <v/>
      </c>
      <c r="H13" s="19">
        <f>IF(B13=0,0,(B13-E13)/B13)</f>
        <v/>
      </c>
      <c r="I13" s="18">
        <f>F13-G13</f>
        <v/>
      </c>
      <c r="J13" s="18">
        <f>IF(E13&gt;0,"INCOMPLETE",IF(D13=0,"READY","NEEDS WORK"))</f>
        <v/>
      </c>
    </row>
    <row r="14">
      <c r="A14" s="18" t="inlineStr">
        <is>
          <t>PS</t>
        </is>
      </c>
      <c r="B14" s="18">
        <f>COUNTIF(Assessment!$A$6:$A$115,A14)</f>
        <v/>
      </c>
      <c r="C14" s="18">
        <f>COUNTIFS(Assessment!$A$6:$A$115,A14,Assessment!$I$6:$I$115,"MET")</f>
        <v/>
      </c>
      <c r="D14" s="18">
        <f>COUNTIFS(Assessment!$A$6:$A$115,A14,Assessment!$I$6:$I$115,"NOT MET")</f>
        <v/>
      </c>
      <c r="E14" s="18">
        <f>COUNTIFS(Assessment!$A$6:$A$115,A14,Assessment!$I$6:$I$115,"NOT ASSESSED")</f>
        <v/>
      </c>
      <c r="F14" s="18">
        <f>SUMIF(Assessment!$A$6:$A$115,A14,Assessment!$L$6:$L$115)</f>
        <v/>
      </c>
      <c r="G14" s="18">
        <f>SUMIF(Assessment!$A$6:$A$115,A14,Assessment!$N$6:$N$115)</f>
        <v/>
      </c>
      <c r="H14" s="19">
        <f>IF(B14=0,0,(B14-E14)/B14)</f>
        <v/>
      </c>
      <c r="I14" s="18">
        <f>F14-G14</f>
        <v/>
      </c>
      <c r="J14" s="18">
        <f>IF(E14&gt;0,"INCOMPLETE",IF(D14=0,"READY","NEEDS WORK"))</f>
        <v/>
      </c>
    </row>
    <row r="15">
      <c r="A15" s="18" t="inlineStr">
        <is>
          <t>PE</t>
        </is>
      </c>
      <c r="B15" s="18">
        <f>COUNTIF(Assessment!$A$6:$A$115,A15)</f>
        <v/>
      </c>
      <c r="C15" s="18">
        <f>COUNTIFS(Assessment!$A$6:$A$115,A15,Assessment!$I$6:$I$115,"MET")</f>
        <v/>
      </c>
      <c r="D15" s="18">
        <f>COUNTIFS(Assessment!$A$6:$A$115,A15,Assessment!$I$6:$I$115,"NOT MET")</f>
        <v/>
      </c>
      <c r="E15" s="18">
        <f>COUNTIFS(Assessment!$A$6:$A$115,A15,Assessment!$I$6:$I$115,"NOT ASSESSED")</f>
        <v/>
      </c>
      <c r="F15" s="18">
        <f>SUMIF(Assessment!$A$6:$A$115,A15,Assessment!$L$6:$L$115)</f>
        <v/>
      </c>
      <c r="G15" s="18">
        <f>SUMIF(Assessment!$A$6:$A$115,A15,Assessment!$N$6:$N$115)</f>
        <v/>
      </c>
      <c r="H15" s="19">
        <f>IF(B15=0,0,(B15-E15)/B15)</f>
        <v/>
      </c>
      <c r="I15" s="18">
        <f>F15-G15</f>
        <v/>
      </c>
      <c r="J15" s="18">
        <f>IF(E15&gt;0,"INCOMPLETE",IF(D15=0,"READY","NEEDS WORK"))</f>
        <v/>
      </c>
    </row>
    <row r="16">
      <c r="A16" s="18" t="inlineStr">
        <is>
          <t>RA</t>
        </is>
      </c>
      <c r="B16" s="18">
        <f>COUNTIF(Assessment!$A$6:$A$115,A16)</f>
        <v/>
      </c>
      <c r="C16" s="18">
        <f>COUNTIFS(Assessment!$A$6:$A$115,A16,Assessment!$I$6:$I$115,"MET")</f>
        <v/>
      </c>
      <c r="D16" s="18">
        <f>COUNTIFS(Assessment!$A$6:$A$115,A16,Assessment!$I$6:$I$115,"NOT MET")</f>
        <v/>
      </c>
      <c r="E16" s="18">
        <f>COUNTIFS(Assessment!$A$6:$A$115,A16,Assessment!$I$6:$I$115,"NOT ASSESSED")</f>
        <v/>
      </c>
      <c r="F16" s="18">
        <f>SUMIF(Assessment!$A$6:$A$115,A16,Assessment!$L$6:$L$115)</f>
        <v/>
      </c>
      <c r="G16" s="18">
        <f>SUMIF(Assessment!$A$6:$A$115,A16,Assessment!$N$6:$N$115)</f>
        <v/>
      </c>
      <c r="H16" s="19">
        <f>IF(B16=0,0,(B16-E16)/B16)</f>
        <v/>
      </c>
      <c r="I16" s="18">
        <f>F16-G16</f>
        <v/>
      </c>
      <c r="J16" s="18">
        <f>IF(E16&gt;0,"INCOMPLETE",IF(D16=0,"READY","NEEDS WORK"))</f>
        <v/>
      </c>
    </row>
    <row r="17">
      <c r="A17" s="18" t="inlineStr">
        <is>
          <t>CA</t>
        </is>
      </c>
      <c r="B17" s="18">
        <f>COUNTIF(Assessment!$A$6:$A$115,A17)</f>
        <v/>
      </c>
      <c r="C17" s="18">
        <f>COUNTIFS(Assessment!$A$6:$A$115,A17,Assessment!$I$6:$I$115,"MET")</f>
        <v/>
      </c>
      <c r="D17" s="18">
        <f>COUNTIFS(Assessment!$A$6:$A$115,A17,Assessment!$I$6:$I$115,"NOT MET")</f>
        <v/>
      </c>
      <c r="E17" s="18">
        <f>COUNTIFS(Assessment!$A$6:$A$115,A17,Assessment!$I$6:$I$115,"NOT ASSESSED")</f>
        <v/>
      </c>
      <c r="F17" s="18">
        <f>SUMIF(Assessment!$A$6:$A$115,A17,Assessment!$L$6:$L$115)</f>
        <v/>
      </c>
      <c r="G17" s="18">
        <f>SUMIF(Assessment!$A$6:$A$115,A17,Assessment!$N$6:$N$115)</f>
        <v/>
      </c>
      <c r="H17" s="19">
        <f>IF(B17=0,0,(B17-E17)/B17)</f>
        <v/>
      </c>
      <c r="I17" s="18">
        <f>F17-G17</f>
        <v/>
      </c>
      <c r="J17" s="18">
        <f>IF(E17&gt;0,"INCOMPLETE",IF(D17=0,"READY","NEEDS WORK"))</f>
        <v/>
      </c>
    </row>
    <row r="18">
      <c r="A18" s="18" t="inlineStr">
        <is>
          <t>SC</t>
        </is>
      </c>
      <c r="B18" s="18">
        <f>COUNTIF(Assessment!$A$6:$A$115,A18)</f>
        <v/>
      </c>
      <c r="C18" s="18">
        <f>COUNTIFS(Assessment!$A$6:$A$115,A18,Assessment!$I$6:$I$115,"MET")</f>
        <v/>
      </c>
      <c r="D18" s="18">
        <f>COUNTIFS(Assessment!$A$6:$A$115,A18,Assessment!$I$6:$I$115,"NOT MET")</f>
        <v/>
      </c>
      <c r="E18" s="18">
        <f>COUNTIFS(Assessment!$A$6:$A$115,A18,Assessment!$I$6:$I$115,"NOT ASSESSED")</f>
        <v/>
      </c>
      <c r="F18" s="18">
        <f>SUMIF(Assessment!$A$6:$A$115,A18,Assessment!$L$6:$L$115)</f>
        <v/>
      </c>
      <c r="G18" s="18">
        <f>SUMIF(Assessment!$A$6:$A$115,A18,Assessment!$N$6:$N$115)</f>
        <v/>
      </c>
      <c r="H18" s="19">
        <f>IF(B18=0,0,(B18-E18)/B18)</f>
        <v/>
      </c>
      <c r="I18" s="18">
        <f>F18-G18</f>
        <v/>
      </c>
      <c r="J18" s="18">
        <f>IF(E18&gt;0,"INCOMPLETE",IF(D18=0,"READY","NEEDS WORK"))</f>
        <v/>
      </c>
    </row>
    <row r="19">
      <c r="A19" s="18" t="inlineStr">
        <is>
          <t>SI</t>
        </is>
      </c>
      <c r="B19" s="18">
        <f>COUNTIF(Assessment!$A$6:$A$115,A19)</f>
        <v/>
      </c>
      <c r="C19" s="18">
        <f>COUNTIFS(Assessment!$A$6:$A$115,A19,Assessment!$I$6:$I$115,"MET")</f>
        <v/>
      </c>
      <c r="D19" s="18">
        <f>COUNTIFS(Assessment!$A$6:$A$115,A19,Assessment!$I$6:$I$115,"NOT MET")</f>
        <v/>
      </c>
      <c r="E19" s="18">
        <f>COUNTIFS(Assessment!$A$6:$A$115,A19,Assessment!$I$6:$I$115,"NOT ASSESSED")</f>
        <v/>
      </c>
      <c r="F19" s="18">
        <f>SUMIF(Assessment!$A$6:$A$115,A19,Assessment!$L$6:$L$115)</f>
        <v/>
      </c>
      <c r="G19" s="18">
        <f>SUMIF(Assessment!$A$6:$A$115,A19,Assessment!$N$6:$N$115)</f>
        <v/>
      </c>
      <c r="H19" s="19">
        <f>IF(B19=0,0,(B19-E19)/B19)</f>
        <v/>
      </c>
      <c r="I19" s="18">
        <f>F19-G19</f>
        <v/>
      </c>
      <c r="J19" s="18">
        <f>IF(E19&gt;0,"INCOMPLETE",IF(D19=0,"READY","NEEDS WORK"))</f>
        <v/>
      </c>
    </row>
  </sheetData>
  <autoFilter ref="A5:J19"/>
  <mergeCells count="2">
    <mergeCell ref="A1:J2"/>
    <mergeCell ref="A3:J3"/>
  </mergeCells>
  <pageMargins left="0.25" right="0.25"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P505"/>
  <sheetViews>
    <sheetView showGridLines="0" zoomScale="80" workbookViewId="0">
      <pane ySplit="5" topLeftCell="A6" activePane="bottomLeft" state="frozen"/>
      <selection pane="bottomLeft" activeCell="A1" sqref="A1"/>
    </sheetView>
  </sheetViews>
  <sheetFormatPr baseColWidth="8" defaultRowHeight="15"/>
  <cols>
    <col width="16" customWidth="1" min="1" max="1"/>
    <col width="34" customWidth="1" min="2" max="2"/>
    <col width="18" customWidth="1" min="3" max="3"/>
    <col width="45" customWidth="1" min="4" max="4"/>
    <col width="48" customWidth="1" min="5" max="5"/>
    <col width="22" customWidth="1" min="6" max="6"/>
    <col width="18" customWidth="1" min="7" max="7"/>
    <col width="18" customWidth="1" min="8" max="8"/>
    <col width="22" customWidth="1" min="9" max="9"/>
    <col width="14" customWidth="1" min="10" max="10"/>
    <col width="14" customWidth="1" min="11" max="11"/>
    <col width="35" customWidth="1" min="12" max="12"/>
    <col width="28" customWidth="1" min="13" max="13"/>
    <col width="18" customWidth="1" min="14" max="14"/>
    <col width="14" customWidth="1" min="15" max="15"/>
    <col width="45" customWidth="1" min="16" max="16"/>
  </cols>
  <sheetData>
    <row r="1" ht="26" customHeight="1">
      <c r="A1" s="1" t="inlineStr">
        <is>
          <t>Evidence Register</t>
        </is>
      </c>
      <c r="B1" s="2" t="n"/>
      <c r="C1" s="2" t="n"/>
      <c r="D1" s="2" t="n"/>
      <c r="E1" s="2" t="n"/>
      <c r="F1" s="2" t="n"/>
      <c r="G1" s="2" t="n"/>
      <c r="H1" s="2" t="n"/>
      <c r="I1" s="2" t="n"/>
      <c r="J1" s="2" t="n"/>
      <c r="K1" s="2" t="n"/>
      <c r="L1" s="2" t="n"/>
      <c r="M1" s="2" t="n"/>
      <c r="N1" s="2" t="n"/>
      <c r="O1" s="2" t="n"/>
      <c r="P1" s="2" t="n"/>
    </row>
    <row r="2" ht="14" customHeight="1">
      <c r="A2" s="2" t="n"/>
      <c r="B2" s="2" t="n"/>
      <c r="C2" s="2" t="n"/>
      <c r="D2" s="2" t="n"/>
      <c r="E2" s="2" t="n"/>
      <c r="F2" s="2" t="n"/>
      <c r="G2" s="2" t="n"/>
      <c r="H2" s="2" t="n"/>
      <c r="I2" s="2" t="n"/>
      <c r="J2" s="2" t="n"/>
      <c r="K2" s="2" t="n"/>
      <c r="L2" s="2" t="n"/>
      <c r="M2" s="2" t="n"/>
      <c r="N2" s="2" t="n"/>
      <c r="O2" s="2" t="n"/>
      <c r="P2" s="2" t="n"/>
    </row>
    <row r="3" ht="22" customHeight="1">
      <c r="A3" s="3" t="inlineStr">
        <is>
          <t>Track policies, procedures, screenshots, configurations, interviews, tests, records, and other evidence supporting the assessment.</t>
        </is>
      </c>
      <c r="B3" s="2" t="n"/>
      <c r="C3" s="2" t="n"/>
      <c r="D3" s="2" t="n"/>
      <c r="E3" s="2" t="n"/>
      <c r="F3" s="2" t="n"/>
      <c r="G3" s="2" t="n"/>
      <c r="H3" s="2" t="n"/>
      <c r="I3" s="2" t="n"/>
      <c r="J3" s="2" t="n"/>
      <c r="K3" s="2" t="n"/>
      <c r="L3" s="2" t="n"/>
      <c r="M3" s="2" t="n"/>
      <c r="N3" s="2" t="n"/>
      <c r="O3" s="2" t="n"/>
      <c r="P3" s="2" t="n"/>
    </row>
    <row r="5" ht="32" customHeight="1">
      <c r="A5" s="8" t="inlineStr">
        <is>
          <t>Evidence ID</t>
        </is>
      </c>
      <c r="B5" s="8" t="inlineStr">
        <is>
          <t>Evidence Title</t>
        </is>
      </c>
      <c r="C5" s="8" t="inlineStr">
        <is>
          <t>Evidence Type</t>
        </is>
      </c>
      <c r="D5" s="8" t="inlineStr">
        <is>
          <t>Description</t>
        </is>
      </c>
      <c r="E5" s="8" t="inlineStr">
        <is>
          <t>Storage Location / URL</t>
        </is>
      </c>
      <c r="F5" s="8" t="inlineStr">
        <is>
          <t>Document Owner</t>
        </is>
      </c>
      <c r="G5" s="8" t="inlineStr">
        <is>
          <t>Evidence Status</t>
        </is>
      </c>
      <c r="H5" s="8" t="inlineStr">
        <is>
          <t>Review Status</t>
        </is>
      </c>
      <c r="I5" s="8" t="inlineStr">
        <is>
          <t>Reviewer</t>
        </is>
      </c>
      <c r="J5" s="8" t="inlineStr">
        <is>
          <t>Review Date</t>
        </is>
      </c>
      <c r="K5" s="8" t="inlineStr">
        <is>
          <t>Expiration Date</t>
        </is>
      </c>
      <c r="L5" s="8" t="inlineStr">
        <is>
          <t>Requirement IDs</t>
        </is>
      </c>
      <c r="M5" s="8" t="inlineStr">
        <is>
          <t>Objective IDs</t>
        </is>
      </c>
      <c r="N5" s="8" t="inlineStr">
        <is>
          <t>Confidentiality</t>
        </is>
      </c>
      <c r="O5" s="8" t="inlineStr">
        <is>
          <t>Version</t>
        </is>
      </c>
      <c r="P5" s="8" t="inlineStr">
        <is>
          <t>Notes</t>
        </is>
      </c>
    </row>
    <row r="6">
      <c r="A6" s="16" t="inlineStr"/>
      <c r="B6" s="16" t="inlineStr"/>
      <c r="C6" s="16" t="inlineStr">
        <is>
          <t>Document</t>
        </is>
      </c>
      <c r="D6" s="16" t="inlineStr"/>
      <c r="E6" s="16" t="inlineStr"/>
      <c r="F6" s="16" t="inlineStr"/>
      <c r="G6" s="16" t="inlineStr">
        <is>
          <t>Not Started</t>
        </is>
      </c>
      <c r="H6" s="16" t="inlineStr">
        <is>
          <t>Not Reviewed</t>
        </is>
      </c>
      <c r="I6" s="16" t="inlineStr"/>
      <c r="J6" s="20" t="inlineStr"/>
      <c r="K6" s="20" t="inlineStr"/>
      <c r="L6" s="16" t="inlineStr"/>
      <c r="M6" s="16" t="inlineStr"/>
      <c r="N6" s="16" t="inlineStr">
        <is>
          <t>CUI</t>
        </is>
      </c>
      <c r="O6" s="16" t="inlineStr"/>
      <c r="P6" s="16" t="inlineStr"/>
    </row>
    <row r="7">
      <c r="A7" s="16" t="inlineStr"/>
      <c r="B7" s="16" t="inlineStr"/>
      <c r="C7" s="16" t="inlineStr">
        <is>
          <t>Document</t>
        </is>
      </c>
      <c r="D7" s="16" t="inlineStr"/>
      <c r="E7" s="16" t="inlineStr"/>
      <c r="F7" s="16" t="inlineStr"/>
      <c r="G7" s="16" t="inlineStr">
        <is>
          <t>Not Started</t>
        </is>
      </c>
      <c r="H7" s="16" t="inlineStr">
        <is>
          <t>Not Reviewed</t>
        </is>
      </c>
      <c r="I7" s="16" t="inlineStr"/>
      <c r="J7" s="20" t="inlineStr"/>
      <c r="K7" s="20" t="inlineStr"/>
      <c r="L7" s="16" t="inlineStr"/>
      <c r="M7" s="16" t="inlineStr"/>
      <c r="N7" s="16" t="inlineStr">
        <is>
          <t>CUI</t>
        </is>
      </c>
      <c r="O7" s="16" t="inlineStr"/>
      <c r="P7" s="16" t="inlineStr"/>
    </row>
    <row r="8">
      <c r="A8" s="16" t="inlineStr"/>
      <c r="B8" s="16" t="inlineStr"/>
      <c r="C8" s="16" t="inlineStr">
        <is>
          <t>Document</t>
        </is>
      </c>
      <c r="D8" s="16" t="inlineStr"/>
      <c r="E8" s="16" t="inlineStr"/>
      <c r="F8" s="16" t="inlineStr"/>
      <c r="G8" s="16" t="inlineStr">
        <is>
          <t>Not Started</t>
        </is>
      </c>
      <c r="H8" s="16" t="inlineStr">
        <is>
          <t>Not Reviewed</t>
        </is>
      </c>
      <c r="I8" s="16" t="inlineStr"/>
      <c r="J8" s="20" t="inlineStr"/>
      <c r="K8" s="20" t="inlineStr"/>
      <c r="L8" s="16" t="inlineStr"/>
      <c r="M8" s="16" t="inlineStr"/>
      <c r="N8" s="16" t="inlineStr">
        <is>
          <t>CUI</t>
        </is>
      </c>
      <c r="O8" s="16" t="inlineStr"/>
      <c r="P8" s="16" t="inlineStr"/>
    </row>
    <row r="9">
      <c r="A9" s="16" t="inlineStr"/>
      <c r="B9" s="16" t="inlineStr"/>
      <c r="C9" s="16" t="inlineStr">
        <is>
          <t>Document</t>
        </is>
      </c>
      <c r="D9" s="16" t="inlineStr"/>
      <c r="E9" s="16" t="inlineStr"/>
      <c r="F9" s="16" t="inlineStr"/>
      <c r="G9" s="16" t="inlineStr">
        <is>
          <t>Not Started</t>
        </is>
      </c>
      <c r="H9" s="16" t="inlineStr">
        <is>
          <t>Not Reviewed</t>
        </is>
      </c>
      <c r="I9" s="16" t="inlineStr"/>
      <c r="J9" s="20" t="inlineStr"/>
      <c r="K9" s="20" t="inlineStr"/>
      <c r="L9" s="16" t="inlineStr"/>
      <c r="M9" s="16" t="inlineStr"/>
      <c r="N9" s="16" t="inlineStr">
        <is>
          <t>CUI</t>
        </is>
      </c>
      <c r="O9" s="16" t="inlineStr"/>
      <c r="P9" s="16" t="inlineStr"/>
    </row>
    <row r="10">
      <c r="A10" s="16" t="inlineStr"/>
      <c r="B10" s="16" t="inlineStr"/>
      <c r="C10" s="16" t="inlineStr">
        <is>
          <t>Document</t>
        </is>
      </c>
      <c r="D10" s="16" t="inlineStr"/>
      <c r="E10" s="16" t="inlineStr"/>
      <c r="F10" s="16" t="inlineStr"/>
      <c r="G10" s="16" t="inlineStr">
        <is>
          <t>Not Started</t>
        </is>
      </c>
      <c r="H10" s="16" t="inlineStr">
        <is>
          <t>Not Reviewed</t>
        </is>
      </c>
      <c r="I10" s="16" t="inlineStr"/>
      <c r="J10" s="20" t="inlineStr"/>
      <c r="K10" s="20" t="inlineStr"/>
      <c r="L10" s="16" t="inlineStr"/>
      <c r="M10" s="16" t="inlineStr"/>
      <c r="N10" s="16" t="inlineStr">
        <is>
          <t>CUI</t>
        </is>
      </c>
      <c r="O10" s="16" t="inlineStr"/>
      <c r="P10" s="16" t="inlineStr"/>
    </row>
    <row r="11">
      <c r="A11" s="16" t="inlineStr"/>
      <c r="B11" s="16" t="inlineStr"/>
      <c r="C11" s="16" t="inlineStr">
        <is>
          <t>Document</t>
        </is>
      </c>
      <c r="D11" s="16" t="inlineStr"/>
      <c r="E11" s="16" t="inlineStr"/>
      <c r="F11" s="16" t="inlineStr"/>
      <c r="G11" s="16" t="inlineStr">
        <is>
          <t>Not Started</t>
        </is>
      </c>
      <c r="H11" s="16" t="inlineStr">
        <is>
          <t>Not Reviewed</t>
        </is>
      </c>
      <c r="I11" s="16" t="inlineStr"/>
      <c r="J11" s="20" t="inlineStr"/>
      <c r="K11" s="20" t="inlineStr"/>
      <c r="L11" s="16" t="inlineStr"/>
      <c r="M11" s="16" t="inlineStr"/>
      <c r="N11" s="16" t="inlineStr">
        <is>
          <t>CUI</t>
        </is>
      </c>
      <c r="O11" s="16" t="inlineStr"/>
      <c r="P11" s="16" t="inlineStr"/>
    </row>
    <row r="12">
      <c r="A12" s="16" t="inlineStr"/>
      <c r="B12" s="16" t="inlineStr"/>
      <c r="C12" s="16" t="inlineStr">
        <is>
          <t>Document</t>
        </is>
      </c>
      <c r="D12" s="16" t="inlineStr"/>
      <c r="E12" s="16" t="inlineStr"/>
      <c r="F12" s="16" t="inlineStr"/>
      <c r="G12" s="16" t="inlineStr">
        <is>
          <t>Not Started</t>
        </is>
      </c>
      <c r="H12" s="16" t="inlineStr">
        <is>
          <t>Not Reviewed</t>
        </is>
      </c>
      <c r="I12" s="16" t="inlineStr"/>
      <c r="J12" s="20" t="inlineStr"/>
      <c r="K12" s="20" t="inlineStr"/>
      <c r="L12" s="16" t="inlineStr"/>
      <c r="M12" s="16" t="inlineStr"/>
      <c r="N12" s="16" t="inlineStr">
        <is>
          <t>CUI</t>
        </is>
      </c>
      <c r="O12" s="16" t="inlineStr"/>
      <c r="P12" s="16" t="inlineStr"/>
    </row>
    <row r="13">
      <c r="A13" s="16" t="inlineStr"/>
      <c r="B13" s="16" t="inlineStr"/>
      <c r="C13" s="16" t="inlineStr">
        <is>
          <t>Document</t>
        </is>
      </c>
      <c r="D13" s="16" t="inlineStr"/>
      <c r="E13" s="16" t="inlineStr"/>
      <c r="F13" s="16" t="inlineStr"/>
      <c r="G13" s="16" t="inlineStr">
        <is>
          <t>Not Started</t>
        </is>
      </c>
      <c r="H13" s="16" t="inlineStr">
        <is>
          <t>Not Reviewed</t>
        </is>
      </c>
      <c r="I13" s="16" t="inlineStr"/>
      <c r="J13" s="20" t="inlineStr"/>
      <c r="K13" s="20" t="inlineStr"/>
      <c r="L13" s="16" t="inlineStr"/>
      <c r="M13" s="16" t="inlineStr"/>
      <c r="N13" s="16" t="inlineStr">
        <is>
          <t>CUI</t>
        </is>
      </c>
      <c r="O13" s="16" t="inlineStr"/>
      <c r="P13" s="16" t="inlineStr"/>
    </row>
    <row r="14">
      <c r="A14" s="16" t="inlineStr"/>
      <c r="B14" s="16" t="inlineStr"/>
      <c r="C14" s="16" t="inlineStr">
        <is>
          <t>Document</t>
        </is>
      </c>
      <c r="D14" s="16" t="inlineStr"/>
      <c r="E14" s="16" t="inlineStr"/>
      <c r="F14" s="16" t="inlineStr"/>
      <c r="G14" s="16" t="inlineStr">
        <is>
          <t>Not Started</t>
        </is>
      </c>
      <c r="H14" s="16" t="inlineStr">
        <is>
          <t>Not Reviewed</t>
        </is>
      </c>
      <c r="I14" s="16" t="inlineStr"/>
      <c r="J14" s="20" t="inlineStr"/>
      <c r="K14" s="20" t="inlineStr"/>
      <c r="L14" s="16" t="inlineStr"/>
      <c r="M14" s="16" t="inlineStr"/>
      <c r="N14" s="16" t="inlineStr">
        <is>
          <t>CUI</t>
        </is>
      </c>
      <c r="O14" s="16" t="inlineStr"/>
      <c r="P14" s="16" t="inlineStr"/>
    </row>
    <row r="15">
      <c r="A15" s="16" t="inlineStr"/>
      <c r="B15" s="16" t="inlineStr"/>
      <c r="C15" s="16" t="inlineStr">
        <is>
          <t>Document</t>
        </is>
      </c>
      <c r="D15" s="16" t="inlineStr"/>
      <c r="E15" s="16" t="inlineStr"/>
      <c r="F15" s="16" t="inlineStr"/>
      <c r="G15" s="16" t="inlineStr">
        <is>
          <t>Not Started</t>
        </is>
      </c>
      <c r="H15" s="16" t="inlineStr">
        <is>
          <t>Not Reviewed</t>
        </is>
      </c>
      <c r="I15" s="16" t="inlineStr"/>
      <c r="J15" s="20" t="inlineStr"/>
      <c r="K15" s="20" t="inlineStr"/>
      <c r="L15" s="16" t="inlineStr"/>
      <c r="M15" s="16" t="inlineStr"/>
      <c r="N15" s="16" t="inlineStr">
        <is>
          <t>CUI</t>
        </is>
      </c>
      <c r="O15" s="16" t="inlineStr"/>
      <c r="P15" s="16" t="inlineStr"/>
    </row>
    <row r="16">
      <c r="A16" s="16" t="inlineStr"/>
      <c r="B16" s="16" t="inlineStr"/>
      <c r="C16" s="16" t="inlineStr">
        <is>
          <t>Document</t>
        </is>
      </c>
      <c r="D16" s="16" t="inlineStr"/>
      <c r="E16" s="16" t="inlineStr"/>
      <c r="F16" s="16" t="inlineStr"/>
      <c r="G16" s="16" t="inlineStr">
        <is>
          <t>Not Started</t>
        </is>
      </c>
      <c r="H16" s="16" t="inlineStr">
        <is>
          <t>Not Reviewed</t>
        </is>
      </c>
      <c r="I16" s="16" t="inlineStr"/>
      <c r="J16" s="20" t="inlineStr"/>
      <c r="K16" s="20" t="inlineStr"/>
      <c r="L16" s="16" t="inlineStr"/>
      <c r="M16" s="16" t="inlineStr"/>
      <c r="N16" s="16" t="inlineStr">
        <is>
          <t>CUI</t>
        </is>
      </c>
      <c r="O16" s="16" t="inlineStr"/>
      <c r="P16" s="16" t="inlineStr"/>
    </row>
    <row r="17">
      <c r="A17" s="16" t="inlineStr"/>
      <c r="B17" s="16" t="inlineStr"/>
      <c r="C17" s="16" t="inlineStr">
        <is>
          <t>Document</t>
        </is>
      </c>
      <c r="D17" s="16" t="inlineStr"/>
      <c r="E17" s="16" t="inlineStr"/>
      <c r="F17" s="16" t="inlineStr"/>
      <c r="G17" s="16" t="inlineStr">
        <is>
          <t>Not Started</t>
        </is>
      </c>
      <c r="H17" s="16" t="inlineStr">
        <is>
          <t>Not Reviewed</t>
        </is>
      </c>
      <c r="I17" s="16" t="inlineStr"/>
      <c r="J17" s="20" t="inlineStr"/>
      <c r="K17" s="20" t="inlineStr"/>
      <c r="L17" s="16" t="inlineStr"/>
      <c r="M17" s="16" t="inlineStr"/>
      <c r="N17" s="16" t="inlineStr">
        <is>
          <t>CUI</t>
        </is>
      </c>
      <c r="O17" s="16" t="inlineStr"/>
      <c r="P17" s="16" t="inlineStr"/>
    </row>
    <row r="18">
      <c r="A18" s="16" t="inlineStr"/>
      <c r="B18" s="16" t="inlineStr"/>
      <c r="C18" s="16" t="inlineStr">
        <is>
          <t>Document</t>
        </is>
      </c>
      <c r="D18" s="16" t="inlineStr"/>
      <c r="E18" s="16" t="inlineStr"/>
      <c r="F18" s="16" t="inlineStr"/>
      <c r="G18" s="16" t="inlineStr">
        <is>
          <t>Not Started</t>
        </is>
      </c>
      <c r="H18" s="16" t="inlineStr">
        <is>
          <t>Not Reviewed</t>
        </is>
      </c>
      <c r="I18" s="16" t="inlineStr"/>
      <c r="J18" s="20" t="inlineStr"/>
      <c r="K18" s="20" t="inlineStr"/>
      <c r="L18" s="16" t="inlineStr"/>
      <c r="M18" s="16" t="inlineStr"/>
      <c r="N18" s="16" t="inlineStr">
        <is>
          <t>CUI</t>
        </is>
      </c>
      <c r="O18" s="16" t="inlineStr"/>
      <c r="P18" s="16" t="inlineStr"/>
    </row>
    <row r="19">
      <c r="A19" s="16" t="inlineStr"/>
      <c r="B19" s="16" t="inlineStr"/>
      <c r="C19" s="16" t="inlineStr">
        <is>
          <t>Document</t>
        </is>
      </c>
      <c r="D19" s="16" t="inlineStr"/>
      <c r="E19" s="16" t="inlineStr"/>
      <c r="F19" s="16" t="inlineStr"/>
      <c r="G19" s="16" t="inlineStr">
        <is>
          <t>Not Started</t>
        </is>
      </c>
      <c r="H19" s="16" t="inlineStr">
        <is>
          <t>Not Reviewed</t>
        </is>
      </c>
      <c r="I19" s="16" t="inlineStr"/>
      <c r="J19" s="20" t="inlineStr"/>
      <c r="K19" s="20" t="inlineStr"/>
      <c r="L19" s="16" t="inlineStr"/>
      <c r="M19" s="16" t="inlineStr"/>
      <c r="N19" s="16" t="inlineStr">
        <is>
          <t>CUI</t>
        </is>
      </c>
      <c r="O19" s="16" t="inlineStr"/>
      <c r="P19" s="16" t="inlineStr"/>
    </row>
    <row r="20">
      <c r="A20" s="16" t="inlineStr"/>
      <c r="B20" s="16" t="inlineStr"/>
      <c r="C20" s="16" t="inlineStr">
        <is>
          <t>Document</t>
        </is>
      </c>
      <c r="D20" s="16" t="inlineStr"/>
      <c r="E20" s="16" t="inlineStr"/>
      <c r="F20" s="16" t="inlineStr"/>
      <c r="G20" s="16" t="inlineStr">
        <is>
          <t>Not Started</t>
        </is>
      </c>
      <c r="H20" s="16" t="inlineStr">
        <is>
          <t>Not Reviewed</t>
        </is>
      </c>
      <c r="I20" s="16" t="inlineStr"/>
      <c r="J20" s="20" t="inlineStr"/>
      <c r="K20" s="20" t="inlineStr"/>
      <c r="L20" s="16" t="inlineStr"/>
      <c r="M20" s="16" t="inlineStr"/>
      <c r="N20" s="16" t="inlineStr">
        <is>
          <t>CUI</t>
        </is>
      </c>
      <c r="O20" s="16" t="inlineStr"/>
      <c r="P20" s="16" t="inlineStr"/>
    </row>
    <row r="21">
      <c r="A21" s="16" t="inlineStr"/>
      <c r="B21" s="16" t="inlineStr"/>
      <c r="C21" s="16" t="inlineStr">
        <is>
          <t>Document</t>
        </is>
      </c>
      <c r="D21" s="16" t="inlineStr"/>
      <c r="E21" s="16" t="inlineStr"/>
      <c r="F21" s="16" t="inlineStr"/>
      <c r="G21" s="16" t="inlineStr">
        <is>
          <t>Not Started</t>
        </is>
      </c>
      <c r="H21" s="16" t="inlineStr">
        <is>
          <t>Not Reviewed</t>
        </is>
      </c>
      <c r="I21" s="16" t="inlineStr"/>
      <c r="J21" s="20" t="inlineStr"/>
      <c r="K21" s="20" t="inlineStr"/>
      <c r="L21" s="16" t="inlineStr"/>
      <c r="M21" s="16" t="inlineStr"/>
      <c r="N21" s="16" t="inlineStr">
        <is>
          <t>CUI</t>
        </is>
      </c>
      <c r="O21" s="16" t="inlineStr"/>
      <c r="P21" s="16" t="inlineStr"/>
    </row>
    <row r="22">
      <c r="A22" s="16" t="inlineStr"/>
      <c r="B22" s="16" t="inlineStr"/>
      <c r="C22" s="16" t="inlineStr">
        <is>
          <t>Document</t>
        </is>
      </c>
      <c r="D22" s="16" t="inlineStr"/>
      <c r="E22" s="16" t="inlineStr"/>
      <c r="F22" s="16" t="inlineStr"/>
      <c r="G22" s="16" t="inlineStr">
        <is>
          <t>Not Started</t>
        </is>
      </c>
      <c r="H22" s="16" t="inlineStr">
        <is>
          <t>Not Reviewed</t>
        </is>
      </c>
      <c r="I22" s="16" t="inlineStr"/>
      <c r="J22" s="20" t="inlineStr"/>
      <c r="K22" s="20" t="inlineStr"/>
      <c r="L22" s="16" t="inlineStr"/>
      <c r="M22" s="16" t="inlineStr"/>
      <c r="N22" s="16" t="inlineStr">
        <is>
          <t>CUI</t>
        </is>
      </c>
      <c r="O22" s="16" t="inlineStr"/>
      <c r="P22" s="16" t="inlineStr"/>
    </row>
    <row r="23">
      <c r="A23" s="16" t="inlineStr"/>
      <c r="B23" s="16" t="inlineStr"/>
      <c r="C23" s="16" t="inlineStr">
        <is>
          <t>Document</t>
        </is>
      </c>
      <c r="D23" s="16" t="inlineStr"/>
      <c r="E23" s="16" t="inlineStr"/>
      <c r="F23" s="16" t="inlineStr"/>
      <c r="G23" s="16" t="inlineStr">
        <is>
          <t>Not Started</t>
        </is>
      </c>
      <c r="H23" s="16" t="inlineStr">
        <is>
          <t>Not Reviewed</t>
        </is>
      </c>
      <c r="I23" s="16" t="inlineStr"/>
      <c r="J23" s="20" t="inlineStr"/>
      <c r="K23" s="20" t="inlineStr"/>
      <c r="L23" s="16" t="inlineStr"/>
      <c r="M23" s="16" t="inlineStr"/>
      <c r="N23" s="16" t="inlineStr">
        <is>
          <t>CUI</t>
        </is>
      </c>
      <c r="O23" s="16" t="inlineStr"/>
      <c r="P23" s="16" t="inlineStr"/>
    </row>
    <row r="24">
      <c r="A24" s="16" t="inlineStr"/>
      <c r="B24" s="16" t="inlineStr"/>
      <c r="C24" s="16" t="inlineStr">
        <is>
          <t>Document</t>
        </is>
      </c>
      <c r="D24" s="16" t="inlineStr"/>
      <c r="E24" s="16" t="inlineStr"/>
      <c r="F24" s="16" t="inlineStr"/>
      <c r="G24" s="16" t="inlineStr">
        <is>
          <t>Not Started</t>
        </is>
      </c>
      <c r="H24" s="16" t="inlineStr">
        <is>
          <t>Not Reviewed</t>
        </is>
      </c>
      <c r="I24" s="16" t="inlineStr"/>
      <c r="J24" s="20" t="inlineStr"/>
      <c r="K24" s="20" t="inlineStr"/>
      <c r="L24" s="16" t="inlineStr"/>
      <c r="M24" s="16" t="inlineStr"/>
      <c r="N24" s="16" t="inlineStr">
        <is>
          <t>CUI</t>
        </is>
      </c>
      <c r="O24" s="16" t="inlineStr"/>
      <c r="P24" s="16" t="inlineStr"/>
    </row>
    <row r="25">
      <c r="A25" s="16" t="inlineStr"/>
      <c r="B25" s="16" t="inlineStr"/>
      <c r="C25" s="16" t="inlineStr">
        <is>
          <t>Document</t>
        </is>
      </c>
      <c r="D25" s="16" t="inlineStr"/>
      <c r="E25" s="16" t="inlineStr"/>
      <c r="F25" s="16" t="inlineStr"/>
      <c r="G25" s="16" t="inlineStr">
        <is>
          <t>Not Started</t>
        </is>
      </c>
      <c r="H25" s="16" t="inlineStr">
        <is>
          <t>Not Reviewed</t>
        </is>
      </c>
      <c r="I25" s="16" t="inlineStr"/>
      <c r="J25" s="20" t="inlineStr"/>
      <c r="K25" s="20" t="inlineStr"/>
      <c r="L25" s="16" t="inlineStr"/>
      <c r="M25" s="16" t="inlineStr"/>
      <c r="N25" s="16" t="inlineStr">
        <is>
          <t>CUI</t>
        </is>
      </c>
      <c r="O25" s="16" t="inlineStr"/>
      <c r="P25" s="16" t="inlineStr"/>
    </row>
    <row r="26">
      <c r="A26" s="16" t="inlineStr"/>
      <c r="B26" s="16" t="inlineStr"/>
      <c r="C26" s="16" t="inlineStr">
        <is>
          <t>Document</t>
        </is>
      </c>
      <c r="D26" s="16" t="inlineStr"/>
      <c r="E26" s="16" t="inlineStr"/>
      <c r="F26" s="16" t="inlineStr"/>
      <c r="G26" s="16" t="inlineStr">
        <is>
          <t>Not Started</t>
        </is>
      </c>
      <c r="H26" s="16" t="inlineStr">
        <is>
          <t>Not Reviewed</t>
        </is>
      </c>
      <c r="I26" s="16" t="inlineStr"/>
      <c r="J26" s="20" t="inlineStr"/>
      <c r="K26" s="20" t="inlineStr"/>
      <c r="L26" s="16" t="inlineStr"/>
      <c r="M26" s="16" t="inlineStr"/>
      <c r="N26" s="16" t="inlineStr">
        <is>
          <t>CUI</t>
        </is>
      </c>
      <c r="O26" s="16" t="inlineStr"/>
      <c r="P26" s="16" t="inlineStr"/>
    </row>
    <row r="27">
      <c r="A27" s="16" t="inlineStr"/>
      <c r="B27" s="16" t="inlineStr"/>
      <c r="C27" s="16" t="inlineStr">
        <is>
          <t>Document</t>
        </is>
      </c>
      <c r="D27" s="16" t="inlineStr"/>
      <c r="E27" s="16" t="inlineStr"/>
      <c r="F27" s="16" t="inlineStr"/>
      <c r="G27" s="16" t="inlineStr">
        <is>
          <t>Not Started</t>
        </is>
      </c>
      <c r="H27" s="16" t="inlineStr">
        <is>
          <t>Not Reviewed</t>
        </is>
      </c>
      <c r="I27" s="16" t="inlineStr"/>
      <c r="J27" s="20" t="inlineStr"/>
      <c r="K27" s="20" t="inlineStr"/>
      <c r="L27" s="16" t="inlineStr"/>
      <c r="M27" s="16" t="inlineStr"/>
      <c r="N27" s="16" t="inlineStr">
        <is>
          <t>CUI</t>
        </is>
      </c>
      <c r="O27" s="16" t="inlineStr"/>
      <c r="P27" s="16" t="inlineStr"/>
    </row>
    <row r="28">
      <c r="A28" s="16" t="inlineStr"/>
      <c r="B28" s="16" t="inlineStr"/>
      <c r="C28" s="16" t="inlineStr">
        <is>
          <t>Document</t>
        </is>
      </c>
      <c r="D28" s="16" t="inlineStr"/>
      <c r="E28" s="16" t="inlineStr"/>
      <c r="F28" s="16" t="inlineStr"/>
      <c r="G28" s="16" t="inlineStr">
        <is>
          <t>Not Started</t>
        </is>
      </c>
      <c r="H28" s="16" t="inlineStr">
        <is>
          <t>Not Reviewed</t>
        </is>
      </c>
      <c r="I28" s="16" t="inlineStr"/>
      <c r="J28" s="20" t="inlineStr"/>
      <c r="K28" s="20" t="inlineStr"/>
      <c r="L28" s="16" t="inlineStr"/>
      <c r="M28" s="16" t="inlineStr"/>
      <c r="N28" s="16" t="inlineStr">
        <is>
          <t>CUI</t>
        </is>
      </c>
      <c r="O28" s="16" t="inlineStr"/>
      <c r="P28" s="16" t="inlineStr"/>
    </row>
    <row r="29">
      <c r="A29" s="16" t="inlineStr"/>
      <c r="B29" s="16" t="inlineStr"/>
      <c r="C29" s="16" t="inlineStr">
        <is>
          <t>Document</t>
        </is>
      </c>
      <c r="D29" s="16" t="inlineStr"/>
      <c r="E29" s="16" t="inlineStr"/>
      <c r="F29" s="16" t="inlineStr"/>
      <c r="G29" s="16" t="inlineStr">
        <is>
          <t>Not Started</t>
        </is>
      </c>
      <c r="H29" s="16" t="inlineStr">
        <is>
          <t>Not Reviewed</t>
        </is>
      </c>
      <c r="I29" s="16" t="inlineStr"/>
      <c r="J29" s="20" t="inlineStr"/>
      <c r="K29" s="20" t="inlineStr"/>
      <c r="L29" s="16" t="inlineStr"/>
      <c r="M29" s="16" t="inlineStr"/>
      <c r="N29" s="16" t="inlineStr">
        <is>
          <t>CUI</t>
        </is>
      </c>
      <c r="O29" s="16" t="inlineStr"/>
      <c r="P29" s="16" t="inlineStr"/>
    </row>
    <row r="30">
      <c r="A30" s="16" t="inlineStr"/>
      <c r="B30" s="16" t="inlineStr"/>
      <c r="C30" s="16" t="inlineStr">
        <is>
          <t>Document</t>
        </is>
      </c>
      <c r="D30" s="16" t="inlineStr"/>
      <c r="E30" s="16" t="inlineStr"/>
      <c r="F30" s="16" t="inlineStr"/>
      <c r="G30" s="16" t="inlineStr">
        <is>
          <t>Not Started</t>
        </is>
      </c>
      <c r="H30" s="16" t="inlineStr">
        <is>
          <t>Not Reviewed</t>
        </is>
      </c>
      <c r="I30" s="16" t="inlineStr"/>
      <c r="J30" s="20" t="inlineStr"/>
      <c r="K30" s="20" t="inlineStr"/>
      <c r="L30" s="16" t="inlineStr"/>
      <c r="M30" s="16" t="inlineStr"/>
      <c r="N30" s="16" t="inlineStr">
        <is>
          <t>CUI</t>
        </is>
      </c>
      <c r="O30" s="16" t="inlineStr"/>
      <c r="P30" s="16" t="inlineStr"/>
    </row>
    <row r="31">
      <c r="A31" s="16" t="inlineStr"/>
      <c r="B31" s="16" t="inlineStr"/>
      <c r="C31" s="16" t="inlineStr">
        <is>
          <t>Document</t>
        </is>
      </c>
      <c r="D31" s="16" t="inlineStr"/>
      <c r="E31" s="16" t="inlineStr"/>
      <c r="F31" s="16" t="inlineStr"/>
      <c r="G31" s="16" t="inlineStr">
        <is>
          <t>Not Started</t>
        </is>
      </c>
      <c r="H31" s="16" t="inlineStr">
        <is>
          <t>Not Reviewed</t>
        </is>
      </c>
      <c r="I31" s="16" t="inlineStr"/>
      <c r="J31" s="20" t="inlineStr"/>
      <c r="K31" s="20" t="inlineStr"/>
      <c r="L31" s="16" t="inlineStr"/>
      <c r="M31" s="16" t="inlineStr"/>
      <c r="N31" s="16" t="inlineStr">
        <is>
          <t>CUI</t>
        </is>
      </c>
      <c r="O31" s="16" t="inlineStr"/>
      <c r="P31" s="16" t="inlineStr"/>
    </row>
    <row r="32">
      <c r="A32" s="16" t="inlineStr"/>
      <c r="B32" s="16" t="inlineStr"/>
      <c r="C32" s="16" t="inlineStr">
        <is>
          <t>Document</t>
        </is>
      </c>
      <c r="D32" s="16" t="inlineStr"/>
      <c r="E32" s="16" t="inlineStr"/>
      <c r="F32" s="16" t="inlineStr"/>
      <c r="G32" s="16" t="inlineStr">
        <is>
          <t>Not Started</t>
        </is>
      </c>
      <c r="H32" s="16" t="inlineStr">
        <is>
          <t>Not Reviewed</t>
        </is>
      </c>
      <c r="I32" s="16" t="inlineStr"/>
      <c r="J32" s="20" t="inlineStr"/>
      <c r="K32" s="20" t="inlineStr"/>
      <c r="L32" s="16" t="inlineStr"/>
      <c r="M32" s="16" t="inlineStr"/>
      <c r="N32" s="16" t="inlineStr">
        <is>
          <t>CUI</t>
        </is>
      </c>
      <c r="O32" s="16" t="inlineStr"/>
      <c r="P32" s="16" t="inlineStr"/>
    </row>
    <row r="33">
      <c r="A33" s="16" t="inlineStr"/>
      <c r="B33" s="16" t="inlineStr"/>
      <c r="C33" s="16" t="inlineStr">
        <is>
          <t>Document</t>
        </is>
      </c>
      <c r="D33" s="16" t="inlineStr"/>
      <c r="E33" s="16" t="inlineStr"/>
      <c r="F33" s="16" t="inlineStr"/>
      <c r="G33" s="16" t="inlineStr">
        <is>
          <t>Not Started</t>
        </is>
      </c>
      <c r="H33" s="16" t="inlineStr">
        <is>
          <t>Not Reviewed</t>
        </is>
      </c>
      <c r="I33" s="16" t="inlineStr"/>
      <c r="J33" s="20" t="inlineStr"/>
      <c r="K33" s="20" t="inlineStr"/>
      <c r="L33" s="16" t="inlineStr"/>
      <c r="M33" s="16" t="inlineStr"/>
      <c r="N33" s="16" t="inlineStr">
        <is>
          <t>CUI</t>
        </is>
      </c>
      <c r="O33" s="16" t="inlineStr"/>
      <c r="P33" s="16" t="inlineStr"/>
    </row>
    <row r="34">
      <c r="A34" s="16" t="inlineStr"/>
      <c r="B34" s="16" t="inlineStr"/>
      <c r="C34" s="16" t="inlineStr">
        <is>
          <t>Document</t>
        </is>
      </c>
      <c r="D34" s="16" t="inlineStr"/>
      <c r="E34" s="16" t="inlineStr"/>
      <c r="F34" s="16" t="inlineStr"/>
      <c r="G34" s="16" t="inlineStr">
        <is>
          <t>Not Started</t>
        </is>
      </c>
      <c r="H34" s="16" t="inlineStr">
        <is>
          <t>Not Reviewed</t>
        </is>
      </c>
      <c r="I34" s="16" t="inlineStr"/>
      <c r="J34" s="20" t="inlineStr"/>
      <c r="K34" s="20" t="inlineStr"/>
      <c r="L34" s="16" t="inlineStr"/>
      <c r="M34" s="16" t="inlineStr"/>
      <c r="N34" s="16" t="inlineStr">
        <is>
          <t>CUI</t>
        </is>
      </c>
      <c r="O34" s="16" t="inlineStr"/>
      <c r="P34" s="16" t="inlineStr"/>
    </row>
    <row r="35">
      <c r="A35" s="16" t="inlineStr"/>
      <c r="B35" s="16" t="inlineStr"/>
      <c r="C35" s="16" t="inlineStr">
        <is>
          <t>Document</t>
        </is>
      </c>
      <c r="D35" s="16" t="inlineStr"/>
      <c r="E35" s="16" t="inlineStr"/>
      <c r="F35" s="16" t="inlineStr"/>
      <c r="G35" s="16" t="inlineStr">
        <is>
          <t>Not Started</t>
        </is>
      </c>
      <c r="H35" s="16" t="inlineStr">
        <is>
          <t>Not Reviewed</t>
        </is>
      </c>
      <c r="I35" s="16" t="inlineStr"/>
      <c r="J35" s="20" t="inlineStr"/>
      <c r="K35" s="20" t="inlineStr"/>
      <c r="L35" s="16" t="inlineStr"/>
      <c r="M35" s="16" t="inlineStr"/>
      <c r="N35" s="16" t="inlineStr">
        <is>
          <t>CUI</t>
        </is>
      </c>
      <c r="O35" s="16" t="inlineStr"/>
      <c r="P35" s="16" t="inlineStr"/>
    </row>
    <row r="36">
      <c r="A36" s="16" t="inlineStr"/>
      <c r="B36" s="16" t="inlineStr"/>
      <c r="C36" s="16" t="inlineStr">
        <is>
          <t>Document</t>
        </is>
      </c>
      <c r="D36" s="16" t="inlineStr"/>
      <c r="E36" s="16" t="inlineStr"/>
      <c r="F36" s="16" t="inlineStr"/>
      <c r="G36" s="16" t="inlineStr">
        <is>
          <t>Not Started</t>
        </is>
      </c>
      <c r="H36" s="16" t="inlineStr">
        <is>
          <t>Not Reviewed</t>
        </is>
      </c>
      <c r="I36" s="16" t="inlineStr"/>
      <c r="J36" s="20" t="inlineStr"/>
      <c r="K36" s="20" t="inlineStr"/>
      <c r="L36" s="16" t="inlineStr"/>
      <c r="M36" s="16" t="inlineStr"/>
      <c r="N36" s="16" t="inlineStr">
        <is>
          <t>CUI</t>
        </is>
      </c>
      <c r="O36" s="16" t="inlineStr"/>
      <c r="P36" s="16" t="inlineStr"/>
    </row>
    <row r="37">
      <c r="A37" s="16" t="inlineStr"/>
      <c r="B37" s="16" t="inlineStr"/>
      <c r="C37" s="16" t="inlineStr">
        <is>
          <t>Document</t>
        </is>
      </c>
      <c r="D37" s="16" t="inlineStr"/>
      <c r="E37" s="16" t="inlineStr"/>
      <c r="F37" s="16" t="inlineStr"/>
      <c r="G37" s="16" t="inlineStr">
        <is>
          <t>Not Started</t>
        </is>
      </c>
      <c r="H37" s="16" t="inlineStr">
        <is>
          <t>Not Reviewed</t>
        </is>
      </c>
      <c r="I37" s="16" t="inlineStr"/>
      <c r="J37" s="20" t="inlineStr"/>
      <c r="K37" s="20" t="inlineStr"/>
      <c r="L37" s="16" t="inlineStr"/>
      <c r="M37" s="16" t="inlineStr"/>
      <c r="N37" s="16" t="inlineStr">
        <is>
          <t>CUI</t>
        </is>
      </c>
      <c r="O37" s="16" t="inlineStr"/>
      <c r="P37" s="16" t="inlineStr"/>
    </row>
    <row r="38">
      <c r="A38" s="16" t="inlineStr"/>
      <c r="B38" s="16" t="inlineStr"/>
      <c r="C38" s="16" t="inlineStr">
        <is>
          <t>Document</t>
        </is>
      </c>
      <c r="D38" s="16" t="inlineStr"/>
      <c r="E38" s="16" t="inlineStr"/>
      <c r="F38" s="16" t="inlineStr"/>
      <c r="G38" s="16" t="inlineStr">
        <is>
          <t>Not Started</t>
        </is>
      </c>
      <c r="H38" s="16" t="inlineStr">
        <is>
          <t>Not Reviewed</t>
        </is>
      </c>
      <c r="I38" s="16" t="inlineStr"/>
      <c r="J38" s="20" t="inlineStr"/>
      <c r="K38" s="20" t="inlineStr"/>
      <c r="L38" s="16" t="inlineStr"/>
      <c r="M38" s="16" t="inlineStr"/>
      <c r="N38" s="16" t="inlineStr">
        <is>
          <t>CUI</t>
        </is>
      </c>
      <c r="O38" s="16" t="inlineStr"/>
      <c r="P38" s="16" t="inlineStr"/>
    </row>
    <row r="39">
      <c r="A39" s="16" t="inlineStr"/>
      <c r="B39" s="16" t="inlineStr"/>
      <c r="C39" s="16" t="inlineStr">
        <is>
          <t>Document</t>
        </is>
      </c>
      <c r="D39" s="16" t="inlineStr"/>
      <c r="E39" s="16" t="inlineStr"/>
      <c r="F39" s="16" t="inlineStr"/>
      <c r="G39" s="16" t="inlineStr">
        <is>
          <t>Not Started</t>
        </is>
      </c>
      <c r="H39" s="16" t="inlineStr">
        <is>
          <t>Not Reviewed</t>
        </is>
      </c>
      <c r="I39" s="16" t="inlineStr"/>
      <c r="J39" s="20" t="inlineStr"/>
      <c r="K39" s="20" t="inlineStr"/>
      <c r="L39" s="16" t="inlineStr"/>
      <c r="M39" s="16" t="inlineStr"/>
      <c r="N39" s="16" t="inlineStr">
        <is>
          <t>CUI</t>
        </is>
      </c>
      <c r="O39" s="16" t="inlineStr"/>
      <c r="P39" s="16" t="inlineStr"/>
    </row>
    <row r="40">
      <c r="A40" s="16" t="inlineStr"/>
      <c r="B40" s="16" t="inlineStr"/>
      <c r="C40" s="16" t="inlineStr">
        <is>
          <t>Document</t>
        </is>
      </c>
      <c r="D40" s="16" t="inlineStr"/>
      <c r="E40" s="16" t="inlineStr"/>
      <c r="F40" s="16" t="inlineStr"/>
      <c r="G40" s="16" t="inlineStr">
        <is>
          <t>Not Started</t>
        </is>
      </c>
      <c r="H40" s="16" t="inlineStr">
        <is>
          <t>Not Reviewed</t>
        </is>
      </c>
      <c r="I40" s="16" t="inlineStr"/>
      <c r="J40" s="20" t="inlineStr"/>
      <c r="K40" s="20" t="inlineStr"/>
      <c r="L40" s="16" t="inlineStr"/>
      <c r="M40" s="16" t="inlineStr"/>
      <c r="N40" s="16" t="inlineStr">
        <is>
          <t>CUI</t>
        </is>
      </c>
      <c r="O40" s="16" t="inlineStr"/>
      <c r="P40" s="16" t="inlineStr"/>
    </row>
    <row r="41">
      <c r="A41" s="16" t="inlineStr"/>
      <c r="B41" s="16" t="inlineStr"/>
      <c r="C41" s="16" t="inlineStr">
        <is>
          <t>Document</t>
        </is>
      </c>
      <c r="D41" s="16" t="inlineStr"/>
      <c r="E41" s="16" t="inlineStr"/>
      <c r="F41" s="16" t="inlineStr"/>
      <c r="G41" s="16" t="inlineStr">
        <is>
          <t>Not Started</t>
        </is>
      </c>
      <c r="H41" s="16" t="inlineStr">
        <is>
          <t>Not Reviewed</t>
        </is>
      </c>
      <c r="I41" s="16" t="inlineStr"/>
      <c r="J41" s="20" t="inlineStr"/>
      <c r="K41" s="20" t="inlineStr"/>
      <c r="L41" s="16" t="inlineStr"/>
      <c r="M41" s="16" t="inlineStr"/>
      <c r="N41" s="16" t="inlineStr">
        <is>
          <t>CUI</t>
        </is>
      </c>
      <c r="O41" s="16" t="inlineStr"/>
      <c r="P41" s="16" t="inlineStr"/>
    </row>
    <row r="42">
      <c r="A42" s="16" t="inlineStr"/>
      <c r="B42" s="16" t="inlineStr"/>
      <c r="C42" s="16" t="inlineStr">
        <is>
          <t>Document</t>
        </is>
      </c>
      <c r="D42" s="16" t="inlineStr"/>
      <c r="E42" s="16" t="inlineStr"/>
      <c r="F42" s="16" t="inlineStr"/>
      <c r="G42" s="16" t="inlineStr">
        <is>
          <t>Not Started</t>
        </is>
      </c>
      <c r="H42" s="16" t="inlineStr">
        <is>
          <t>Not Reviewed</t>
        </is>
      </c>
      <c r="I42" s="16" t="inlineStr"/>
      <c r="J42" s="20" t="inlineStr"/>
      <c r="K42" s="20" t="inlineStr"/>
      <c r="L42" s="16" t="inlineStr"/>
      <c r="M42" s="16" t="inlineStr"/>
      <c r="N42" s="16" t="inlineStr">
        <is>
          <t>CUI</t>
        </is>
      </c>
      <c r="O42" s="16" t="inlineStr"/>
      <c r="P42" s="16" t="inlineStr"/>
    </row>
    <row r="43">
      <c r="A43" s="16" t="inlineStr"/>
      <c r="B43" s="16" t="inlineStr"/>
      <c r="C43" s="16" t="inlineStr">
        <is>
          <t>Document</t>
        </is>
      </c>
      <c r="D43" s="16" t="inlineStr"/>
      <c r="E43" s="16" t="inlineStr"/>
      <c r="F43" s="16" t="inlineStr"/>
      <c r="G43" s="16" t="inlineStr">
        <is>
          <t>Not Started</t>
        </is>
      </c>
      <c r="H43" s="16" t="inlineStr">
        <is>
          <t>Not Reviewed</t>
        </is>
      </c>
      <c r="I43" s="16" t="inlineStr"/>
      <c r="J43" s="20" t="inlineStr"/>
      <c r="K43" s="20" t="inlineStr"/>
      <c r="L43" s="16" t="inlineStr"/>
      <c r="M43" s="16" t="inlineStr"/>
      <c r="N43" s="16" t="inlineStr">
        <is>
          <t>CUI</t>
        </is>
      </c>
      <c r="O43" s="16" t="inlineStr"/>
      <c r="P43" s="16" t="inlineStr"/>
    </row>
    <row r="44">
      <c r="A44" s="16" t="inlineStr"/>
      <c r="B44" s="16" t="inlineStr"/>
      <c r="C44" s="16" t="inlineStr">
        <is>
          <t>Document</t>
        </is>
      </c>
      <c r="D44" s="16" t="inlineStr"/>
      <c r="E44" s="16" t="inlineStr"/>
      <c r="F44" s="16" t="inlineStr"/>
      <c r="G44" s="16" t="inlineStr">
        <is>
          <t>Not Started</t>
        </is>
      </c>
      <c r="H44" s="16" t="inlineStr">
        <is>
          <t>Not Reviewed</t>
        </is>
      </c>
      <c r="I44" s="16" t="inlineStr"/>
      <c r="J44" s="20" t="inlineStr"/>
      <c r="K44" s="20" t="inlineStr"/>
      <c r="L44" s="16" t="inlineStr"/>
      <c r="M44" s="16" t="inlineStr"/>
      <c r="N44" s="16" t="inlineStr">
        <is>
          <t>CUI</t>
        </is>
      </c>
      <c r="O44" s="16" t="inlineStr"/>
      <c r="P44" s="16" t="inlineStr"/>
    </row>
    <row r="45">
      <c r="A45" s="16" t="inlineStr"/>
      <c r="B45" s="16" t="inlineStr"/>
      <c r="C45" s="16" t="inlineStr">
        <is>
          <t>Document</t>
        </is>
      </c>
      <c r="D45" s="16" t="inlineStr"/>
      <c r="E45" s="16" t="inlineStr"/>
      <c r="F45" s="16" t="inlineStr"/>
      <c r="G45" s="16" t="inlineStr">
        <is>
          <t>Not Started</t>
        </is>
      </c>
      <c r="H45" s="16" t="inlineStr">
        <is>
          <t>Not Reviewed</t>
        </is>
      </c>
      <c r="I45" s="16" t="inlineStr"/>
      <c r="J45" s="20" t="inlineStr"/>
      <c r="K45" s="20" t="inlineStr"/>
      <c r="L45" s="16" t="inlineStr"/>
      <c r="M45" s="16" t="inlineStr"/>
      <c r="N45" s="16" t="inlineStr">
        <is>
          <t>CUI</t>
        </is>
      </c>
      <c r="O45" s="16" t="inlineStr"/>
      <c r="P45" s="16" t="inlineStr"/>
    </row>
    <row r="46">
      <c r="A46" s="16" t="inlineStr"/>
      <c r="B46" s="16" t="inlineStr"/>
      <c r="C46" s="16" t="inlineStr">
        <is>
          <t>Document</t>
        </is>
      </c>
      <c r="D46" s="16" t="inlineStr"/>
      <c r="E46" s="16" t="inlineStr"/>
      <c r="F46" s="16" t="inlineStr"/>
      <c r="G46" s="16" t="inlineStr">
        <is>
          <t>Not Started</t>
        </is>
      </c>
      <c r="H46" s="16" t="inlineStr">
        <is>
          <t>Not Reviewed</t>
        </is>
      </c>
      <c r="I46" s="16" t="inlineStr"/>
      <c r="J46" s="20" t="inlineStr"/>
      <c r="K46" s="20" t="inlineStr"/>
      <c r="L46" s="16" t="inlineStr"/>
      <c r="M46" s="16" t="inlineStr"/>
      <c r="N46" s="16" t="inlineStr">
        <is>
          <t>CUI</t>
        </is>
      </c>
      <c r="O46" s="16" t="inlineStr"/>
      <c r="P46" s="16" t="inlineStr"/>
    </row>
    <row r="47">
      <c r="A47" s="16" t="inlineStr"/>
      <c r="B47" s="16" t="inlineStr"/>
      <c r="C47" s="16" t="inlineStr">
        <is>
          <t>Document</t>
        </is>
      </c>
      <c r="D47" s="16" t="inlineStr"/>
      <c r="E47" s="16" t="inlineStr"/>
      <c r="F47" s="16" t="inlineStr"/>
      <c r="G47" s="16" t="inlineStr">
        <is>
          <t>Not Started</t>
        </is>
      </c>
      <c r="H47" s="16" t="inlineStr">
        <is>
          <t>Not Reviewed</t>
        </is>
      </c>
      <c r="I47" s="16" t="inlineStr"/>
      <c r="J47" s="20" t="inlineStr"/>
      <c r="K47" s="20" t="inlineStr"/>
      <c r="L47" s="16" t="inlineStr"/>
      <c r="M47" s="16" t="inlineStr"/>
      <c r="N47" s="16" t="inlineStr">
        <is>
          <t>CUI</t>
        </is>
      </c>
      <c r="O47" s="16" t="inlineStr"/>
      <c r="P47" s="16" t="inlineStr"/>
    </row>
    <row r="48">
      <c r="A48" s="16" t="inlineStr"/>
      <c r="B48" s="16" t="inlineStr"/>
      <c r="C48" s="16" t="inlineStr">
        <is>
          <t>Document</t>
        </is>
      </c>
      <c r="D48" s="16" t="inlineStr"/>
      <c r="E48" s="16" t="inlineStr"/>
      <c r="F48" s="16" t="inlineStr"/>
      <c r="G48" s="16" t="inlineStr">
        <is>
          <t>Not Started</t>
        </is>
      </c>
      <c r="H48" s="16" t="inlineStr">
        <is>
          <t>Not Reviewed</t>
        </is>
      </c>
      <c r="I48" s="16" t="inlineStr"/>
      <c r="J48" s="20" t="inlineStr"/>
      <c r="K48" s="20" t="inlineStr"/>
      <c r="L48" s="16" t="inlineStr"/>
      <c r="M48" s="16" t="inlineStr"/>
      <c r="N48" s="16" t="inlineStr">
        <is>
          <t>CUI</t>
        </is>
      </c>
      <c r="O48" s="16" t="inlineStr"/>
      <c r="P48" s="16" t="inlineStr"/>
    </row>
    <row r="49">
      <c r="A49" s="16" t="inlineStr"/>
      <c r="B49" s="16" t="inlineStr"/>
      <c r="C49" s="16" t="inlineStr">
        <is>
          <t>Document</t>
        </is>
      </c>
      <c r="D49" s="16" t="inlineStr"/>
      <c r="E49" s="16" t="inlineStr"/>
      <c r="F49" s="16" t="inlineStr"/>
      <c r="G49" s="16" t="inlineStr">
        <is>
          <t>Not Started</t>
        </is>
      </c>
      <c r="H49" s="16" t="inlineStr">
        <is>
          <t>Not Reviewed</t>
        </is>
      </c>
      <c r="I49" s="16" t="inlineStr"/>
      <c r="J49" s="20" t="inlineStr"/>
      <c r="K49" s="20" t="inlineStr"/>
      <c r="L49" s="16" t="inlineStr"/>
      <c r="M49" s="16" t="inlineStr"/>
      <c r="N49" s="16" t="inlineStr">
        <is>
          <t>CUI</t>
        </is>
      </c>
      <c r="O49" s="16" t="inlineStr"/>
      <c r="P49" s="16" t="inlineStr"/>
    </row>
    <row r="50">
      <c r="A50" s="16" t="inlineStr"/>
      <c r="B50" s="16" t="inlineStr"/>
      <c r="C50" s="16" t="inlineStr">
        <is>
          <t>Document</t>
        </is>
      </c>
      <c r="D50" s="16" t="inlineStr"/>
      <c r="E50" s="16" t="inlineStr"/>
      <c r="F50" s="16" t="inlineStr"/>
      <c r="G50" s="16" t="inlineStr">
        <is>
          <t>Not Started</t>
        </is>
      </c>
      <c r="H50" s="16" t="inlineStr">
        <is>
          <t>Not Reviewed</t>
        </is>
      </c>
      <c r="I50" s="16" t="inlineStr"/>
      <c r="J50" s="20" t="inlineStr"/>
      <c r="K50" s="20" t="inlineStr"/>
      <c r="L50" s="16" t="inlineStr"/>
      <c r="M50" s="16" t="inlineStr"/>
      <c r="N50" s="16" t="inlineStr">
        <is>
          <t>CUI</t>
        </is>
      </c>
      <c r="O50" s="16" t="inlineStr"/>
      <c r="P50" s="16" t="inlineStr"/>
    </row>
    <row r="51">
      <c r="A51" s="16" t="inlineStr"/>
      <c r="B51" s="16" t="inlineStr"/>
      <c r="C51" s="16" t="inlineStr">
        <is>
          <t>Document</t>
        </is>
      </c>
      <c r="D51" s="16" t="inlineStr"/>
      <c r="E51" s="16" t="inlineStr"/>
      <c r="F51" s="16" t="inlineStr"/>
      <c r="G51" s="16" t="inlineStr">
        <is>
          <t>Not Started</t>
        </is>
      </c>
      <c r="H51" s="16" t="inlineStr">
        <is>
          <t>Not Reviewed</t>
        </is>
      </c>
      <c r="I51" s="16" t="inlineStr"/>
      <c r="J51" s="20" t="inlineStr"/>
      <c r="K51" s="20" t="inlineStr"/>
      <c r="L51" s="16" t="inlineStr"/>
      <c r="M51" s="16" t="inlineStr"/>
      <c r="N51" s="16" t="inlineStr">
        <is>
          <t>CUI</t>
        </is>
      </c>
      <c r="O51" s="16" t="inlineStr"/>
      <c r="P51" s="16" t="inlineStr"/>
    </row>
    <row r="52">
      <c r="A52" s="16" t="inlineStr"/>
      <c r="B52" s="16" t="inlineStr"/>
      <c r="C52" s="16" t="inlineStr">
        <is>
          <t>Document</t>
        </is>
      </c>
      <c r="D52" s="16" t="inlineStr"/>
      <c r="E52" s="16" t="inlineStr"/>
      <c r="F52" s="16" t="inlineStr"/>
      <c r="G52" s="16" t="inlineStr">
        <is>
          <t>Not Started</t>
        </is>
      </c>
      <c r="H52" s="16" t="inlineStr">
        <is>
          <t>Not Reviewed</t>
        </is>
      </c>
      <c r="I52" s="16" t="inlineStr"/>
      <c r="J52" s="20" t="inlineStr"/>
      <c r="K52" s="20" t="inlineStr"/>
      <c r="L52" s="16" t="inlineStr"/>
      <c r="M52" s="16" t="inlineStr"/>
      <c r="N52" s="16" t="inlineStr">
        <is>
          <t>CUI</t>
        </is>
      </c>
      <c r="O52" s="16" t="inlineStr"/>
      <c r="P52" s="16" t="inlineStr"/>
    </row>
    <row r="53">
      <c r="A53" s="16" t="inlineStr"/>
      <c r="B53" s="16" t="inlineStr"/>
      <c r="C53" s="16" t="inlineStr">
        <is>
          <t>Document</t>
        </is>
      </c>
      <c r="D53" s="16" t="inlineStr"/>
      <c r="E53" s="16" t="inlineStr"/>
      <c r="F53" s="16" t="inlineStr"/>
      <c r="G53" s="16" t="inlineStr">
        <is>
          <t>Not Started</t>
        </is>
      </c>
      <c r="H53" s="16" t="inlineStr">
        <is>
          <t>Not Reviewed</t>
        </is>
      </c>
      <c r="I53" s="16" t="inlineStr"/>
      <c r="J53" s="20" t="inlineStr"/>
      <c r="K53" s="20" t="inlineStr"/>
      <c r="L53" s="16" t="inlineStr"/>
      <c r="M53" s="16" t="inlineStr"/>
      <c r="N53" s="16" t="inlineStr">
        <is>
          <t>CUI</t>
        </is>
      </c>
      <c r="O53" s="16" t="inlineStr"/>
      <c r="P53" s="16" t="inlineStr"/>
    </row>
    <row r="54">
      <c r="A54" s="16" t="inlineStr"/>
      <c r="B54" s="16" t="inlineStr"/>
      <c r="C54" s="16" t="inlineStr">
        <is>
          <t>Document</t>
        </is>
      </c>
      <c r="D54" s="16" t="inlineStr"/>
      <c r="E54" s="16" t="inlineStr"/>
      <c r="F54" s="16" t="inlineStr"/>
      <c r="G54" s="16" t="inlineStr">
        <is>
          <t>Not Started</t>
        </is>
      </c>
      <c r="H54" s="16" t="inlineStr">
        <is>
          <t>Not Reviewed</t>
        </is>
      </c>
      <c r="I54" s="16" t="inlineStr"/>
      <c r="J54" s="20" t="inlineStr"/>
      <c r="K54" s="20" t="inlineStr"/>
      <c r="L54" s="16" t="inlineStr"/>
      <c r="M54" s="16" t="inlineStr"/>
      <c r="N54" s="16" t="inlineStr">
        <is>
          <t>CUI</t>
        </is>
      </c>
      <c r="O54" s="16" t="inlineStr"/>
      <c r="P54" s="16" t="inlineStr"/>
    </row>
    <row r="55">
      <c r="A55" s="16" t="inlineStr"/>
      <c r="B55" s="16" t="inlineStr"/>
      <c r="C55" s="16" t="inlineStr">
        <is>
          <t>Document</t>
        </is>
      </c>
      <c r="D55" s="16" t="inlineStr"/>
      <c r="E55" s="16" t="inlineStr"/>
      <c r="F55" s="16" t="inlineStr"/>
      <c r="G55" s="16" t="inlineStr">
        <is>
          <t>Not Started</t>
        </is>
      </c>
      <c r="H55" s="16" t="inlineStr">
        <is>
          <t>Not Reviewed</t>
        </is>
      </c>
      <c r="I55" s="16" t="inlineStr"/>
      <c r="J55" s="20" t="inlineStr"/>
      <c r="K55" s="20" t="inlineStr"/>
      <c r="L55" s="16" t="inlineStr"/>
      <c r="M55" s="16" t="inlineStr"/>
      <c r="N55" s="16" t="inlineStr">
        <is>
          <t>CUI</t>
        </is>
      </c>
      <c r="O55" s="16" t="inlineStr"/>
      <c r="P55" s="16" t="inlineStr"/>
    </row>
    <row r="56">
      <c r="A56" s="16" t="inlineStr"/>
      <c r="B56" s="16" t="inlineStr"/>
      <c r="C56" s="16" t="inlineStr">
        <is>
          <t>Document</t>
        </is>
      </c>
      <c r="D56" s="16" t="inlineStr"/>
      <c r="E56" s="16" t="inlineStr"/>
      <c r="F56" s="16" t="inlineStr"/>
      <c r="G56" s="16" t="inlineStr">
        <is>
          <t>Not Started</t>
        </is>
      </c>
      <c r="H56" s="16" t="inlineStr">
        <is>
          <t>Not Reviewed</t>
        </is>
      </c>
      <c r="I56" s="16" t="inlineStr"/>
      <c r="J56" s="20" t="inlineStr"/>
      <c r="K56" s="20" t="inlineStr"/>
      <c r="L56" s="16" t="inlineStr"/>
      <c r="M56" s="16" t="inlineStr"/>
      <c r="N56" s="16" t="inlineStr">
        <is>
          <t>CUI</t>
        </is>
      </c>
      <c r="O56" s="16" t="inlineStr"/>
      <c r="P56" s="16" t="inlineStr"/>
    </row>
    <row r="57">
      <c r="A57" s="16" t="inlineStr"/>
      <c r="B57" s="16" t="inlineStr"/>
      <c r="C57" s="16" t="inlineStr">
        <is>
          <t>Document</t>
        </is>
      </c>
      <c r="D57" s="16" t="inlineStr"/>
      <c r="E57" s="16" t="inlineStr"/>
      <c r="F57" s="16" t="inlineStr"/>
      <c r="G57" s="16" t="inlineStr">
        <is>
          <t>Not Started</t>
        </is>
      </c>
      <c r="H57" s="16" t="inlineStr">
        <is>
          <t>Not Reviewed</t>
        </is>
      </c>
      <c r="I57" s="16" t="inlineStr"/>
      <c r="J57" s="20" t="inlineStr"/>
      <c r="K57" s="20" t="inlineStr"/>
      <c r="L57" s="16" t="inlineStr"/>
      <c r="M57" s="16" t="inlineStr"/>
      <c r="N57" s="16" t="inlineStr">
        <is>
          <t>CUI</t>
        </is>
      </c>
      <c r="O57" s="16" t="inlineStr"/>
      <c r="P57" s="16" t="inlineStr"/>
    </row>
    <row r="58">
      <c r="A58" s="16" t="inlineStr"/>
      <c r="B58" s="16" t="inlineStr"/>
      <c r="C58" s="16" t="inlineStr">
        <is>
          <t>Document</t>
        </is>
      </c>
      <c r="D58" s="16" t="inlineStr"/>
      <c r="E58" s="16" t="inlineStr"/>
      <c r="F58" s="16" t="inlineStr"/>
      <c r="G58" s="16" t="inlineStr">
        <is>
          <t>Not Started</t>
        </is>
      </c>
      <c r="H58" s="16" t="inlineStr">
        <is>
          <t>Not Reviewed</t>
        </is>
      </c>
      <c r="I58" s="16" t="inlineStr"/>
      <c r="J58" s="20" t="inlineStr"/>
      <c r="K58" s="20" t="inlineStr"/>
      <c r="L58" s="16" t="inlineStr"/>
      <c r="M58" s="16" t="inlineStr"/>
      <c r="N58" s="16" t="inlineStr">
        <is>
          <t>CUI</t>
        </is>
      </c>
      <c r="O58" s="16" t="inlineStr"/>
      <c r="P58" s="16" t="inlineStr"/>
    </row>
    <row r="59">
      <c r="A59" s="16" t="inlineStr"/>
      <c r="B59" s="16" t="inlineStr"/>
      <c r="C59" s="16" t="inlineStr">
        <is>
          <t>Document</t>
        </is>
      </c>
      <c r="D59" s="16" t="inlineStr"/>
      <c r="E59" s="16" t="inlineStr"/>
      <c r="F59" s="16" t="inlineStr"/>
      <c r="G59" s="16" t="inlineStr">
        <is>
          <t>Not Started</t>
        </is>
      </c>
      <c r="H59" s="16" t="inlineStr">
        <is>
          <t>Not Reviewed</t>
        </is>
      </c>
      <c r="I59" s="16" t="inlineStr"/>
      <c r="J59" s="20" t="inlineStr"/>
      <c r="K59" s="20" t="inlineStr"/>
      <c r="L59" s="16" t="inlineStr"/>
      <c r="M59" s="16" t="inlineStr"/>
      <c r="N59" s="16" t="inlineStr">
        <is>
          <t>CUI</t>
        </is>
      </c>
      <c r="O59" s="16" t="inlineStr"/>
      <c r="P59" s="16" t="inlineStr"/>
    </row>
    <row r="60">
      <c r="A60" s="16" t="inlineStr"/>
      <c r="B60" s="16" t="inlineStr"/>
      <c r="C60" s="16" t="inlineStr">
        <is>
          <t>Document</t>
        </is>
      </c>
      <c r="D60" s="16" t="inlineStr"/>
      <c r="E60" s="16" t="inlineStr"/>
      <c r="F60" s="16" t="inlineStr"/>
      <c r="G60" s="16" t="inlineStr">
        <is>
          <t>Not Started</t>
        </is>
      </c>
      <c r="H60" s="16" t="inlineStr">
        <is>
          <t>Not Reviewed</t>
        </is>
      </c>
      <c r="I60" s="16" t="inlineStr"/>
      <c r="J60" s="20" t="inlineStr"/>
      <c r="K60" s="20" t="inlineStr"/>
      <c r="L60" s="16" t="inlineStr"/>
      <c r="M60" s="16" t="inlineStr"/>
      <c r="N60" s="16" t="inlineStr">
        <is>
          <t>CUI</t>
        </is>
      </c>
      <c r="O60" s="16" t="inlineStr"/>
      <c r="P60" s="16" t="inlineStr"/>
    </row>
    <row r="61">
      <c r="A61" s="16" t="inlineStr"/>
      <c r="B61" s="16" t="inlineStr"/>
      <c r="C61" s="16" t="inlineStr">
        <is>
          <t>Document</t>
        </is>
      </c>
      <c r="D61" s="16" t="inlineStr"/>
      <c r="E61" s="16" t="inlineStr"/>
      <c r="F61" s="16" t="inlineStr"/>
      <c r="G61" s="16" t="inlineStr">
        <is>
          <t>Not Started</t>
        </is>
      </c>
      <c r="H61" s="16" t="inlineStr">
        <is>
          <t>Not Reviewed</t>
        </is>
      </c>
      <c r="I61" s="16" t="inlineStr"/>
      <c r="J61" s="20" t="inlineStr"/>
      <c r="K61" s="20" t="inlineStr"/>
      <c r="L61" s="16" t="inlineStr"/>
      <c r="M61" s="16" t="inlineStr"/>
      <c r="N61" s="16" t="inlineStr">
        <is>
          <t>CUI</t>
        </is>
      </c>
      <c r="O61" s="16" t="inlineStr"/>
      <c r="P61" s="16" t="inlineStr"/>
    </row>
    <row r="62">
      <c r="A62" s="16" t="inlineStr"/>
      <c r="B62" s="16" t="inlineStr"/>
      <c r="C62" s="16" t="inlineStr">
        <is>
          <t>Document</t>
        </is>
      </c>
      <c r="D62" s="16" t="inlineStr"/>
      <c r="E62" s="16" t="inlineStr"/>
      <c r="F62" s="16" t="inlineStr"/>
      <c r="G62" s="16" t="inlineStr">
        <is>
          <t>Not Started</t>
        </is>
      </c>
      <c r="H62" s="16" t="inlineStr">
        <is>
          <t>Not Reviewed</t>
        </is>
      </c>
      <c r="I62" s="16" t="inlineStr"/>
      <c r="J62" s="20" t="inlineStr"/>
      <c r="K62" s="20" t="inlineStr"/>
      <c r="L62" s="16" t="inlineStr"/>
      <c r="M62" s="16" t="inlineStr"/>
      <c r="N62" s="16" t="inlineStr">
        <is>
          <t>CUI</t>
        </is>
      </c>
      <c r="O62" s="16" t="inlineStr"/>
      <c r="P62" s="16" t="inlineStr"/>
    </row>
    <row r="63">
      <c r="A63" s="16" t="inlineStr"/>
      <c r="B63" s="16" t="inlineStr"/>
      <c r="C63" s="16" t="inlineStr">
        <is>
          <t>Document</t>
        </is>
      </c>
      <c r="D63" s="16" t="inlineStr"/>
      <c r="E63" s="16" t="inlineStr"/>
      <c r="F63" s="16" t="inlineStr"/>
      <c r="G63" s="16" t="inlineStr">
        <is>
          <t>Not Started</t>
        </is>
      </c>
      <c r="H63" s="16" t="inlineStr">
        <is>
          <t>Not Reviewed</t>
        </is>
      </c>
      <c r="I63" s="16" t="inlineStr"/>
      <c r="J63" s="20" t="inlineStr"/>
      <c r="K63" s="20" t="inlineStr"/>
      <c r="L63" s="16" t="inlineStr"/>
      <c r="M63" s="16" t="inlineStr"/>
      <c r="N63" s="16" t="inlineStr">
        <is>
          <t>CUI</t>
        </is>
      </c>
      <c r="O63" s="16" t="inlineStr"/>
      <c r="P63" s="16" t="inlineStr"/>
    </row>
    <row r="64">
      <c r="A64" s="16" t="inlineStr"/>
      <c r="B64" s="16" t="inlineStr"/>
      <c r="C64" s="16" t="inlineStr">
        <is>
          <t>Document</t>
        </is>
      </c>
      <c r="D64" s="16" t="inlineStr"/>
      <c r="E64" s="16" t="inlineStr"/>
      <c r="F64" s="16" t="inlineStr"/>
      <c r="G64" s="16" t="inlineStr">
        <is>
          <t>Not Started</t>
        </is>
      </c>
      <c r="H64" s="16" t="inlineStr">
        <is>
          <t>Not Reviewed</t>
        </is>
      </c>
      <c r="I64" s="16" t="inlineStr"/>
      <c r="J64" s="20" t="inlineStr"/>
      <c r="K64" s="20" t="inlineStr"/>
      <c r="L64" s="16" t="inlineStr"/>
      <c r="M64" s="16" t="inlineStr"/>
      <c r="N64" s="16" t="inlineStr">
        <is>
          <t>CUI</t>
        </is>
      </c>
      <c r="O64" s="16" t="inlineStr"/>
      <c r="P64" s="16" t="inlineStr"/>
    </row>
    <row r="65">
      <c r="A65" s="16" t="inlineStr"/>
      <c r="B65" s="16" t="inlineStr"/>
      <c r="C65" s="16" t="inlineStr">
        <is>
          <t>Document</t>
        </is>
      </c>
      <c r="D65" s="16" t="inlineStr"/>
      <c r="E65" s="16" t="inlineStr"/>
      <c r="F65" s="16" t="inlineStr"/>
      <c r="G65" s="16" t="inlineStr">
        <is>
          <t>Not Started</t>
        </is>
      </c>
      <c r="H65" s="16" t="inlineStr">
        <is>
          <t>Not Reviewed</t>
        </is>
      </c>
      <c r="I65" s="16" t="inlineStr"/>
      <c r="J65" s="20" t="inlineStr"/>
      <c r="K65" s="20" t="inlineStr"/>
      <c r="L65" s="16" t="inlineStr"/>
      <c r="M65" s="16" t="inlineStr"/>
      <c r="N65" s="16" t="inlineStr">
        <is>
          <t>CUI</t>
        </is>
      </c>
      <c r="O65" s="16" t="inlineStr"/>
      <c r="P65" s="16" t="inlineStr"/>
    </row>
    <row r="66">
      <c r="A66" s="16" t="inlineStr"/>
      <c r="B66" s="16" t="inlineStr"/>
      <c r="C66" s="16" t="inlineStr">
        <is>
          <t>Document</t>
        </is>
      </c>
      <c r="D66" s="16" t="inlineStr"/>
      <c r="E66" s="16" t="inlineStr"/>
      <c r="F66" s="16" t="inlineStr"/>
      <c r="G66" s="16" t="inlineStr">
        <is>
          <t>Not Started</t>
        </is>
      </c>
      <c r="H66" s="16" t="inlineStr">
        <is>
          <t>Not Reviewed</t>
        </is>
      </c>
      <c r="I66" s="16" t="inlineStr"/>
      <c r="J66" s="20" t="inlineStr"/>
      <c r="K66" s="20" t="inlineStr"/>
      <c r="L66" s="16" t="inlineStr"/>
      <c r="M66" s="16" t="inlineStr"/>
      <c r="N66" s="16" t="inlineStr">
        <is>
          <t>CUI</t>
        </is>
      </c>
      <c r="O66" s="16" t="inlineStr"/>
      <c r="P66" s="16" t="inlineStr"/>
    </row>
    <row r="67">
      <c r="A67" s="16" t="inlineStr"/>
      <c r="B67" s="16" t="inlineStr"/>
      <c r="C67" s="16" t="inlineStr">
        <is>
          <t>Document</t>
        </is>
      </c>
      <c r="D67" s="16" t="inlineStr"/>
      <c r="E67" s="16" t="inlineStr"/>
      <c r="F67" s="16" t="inlineStr"/>
      <c r="G67" s="16" t="inlineStr">
        <is>
          <t>Not Started</t>
        </is>
      </c>
      <c r="H67" s="16" t="inlineStr">
        <is>
          <t>Not Reviewed</t>
        </is>
      </c>
      <c r="I67" s="16" t="inlineStr"/>
      <c r="J67" s="20" t="inlineStr"/>
      <c r="K67" s="20" t="inlineStr"/>
      <c r="L67" s="16" t="inlineStr"/>
      <c r="M67" s="16" t="inlineStr"/>
      <c r="N67" s="16" t="inlineStr">
        <is>
          <t>CUI</t>
        </is>
      </c>
      <c r="O67" s="16" t="inlineStr"/>
      <c r="P67" s="16" t="inlineStr"/>
    </row>
    <row r="68">
      <c r="A68" s="16" t="inlineStr"/>
      <c r="B68" s="16" t="inlineStr"/>
      <c r="C68" s="16" t="inlineStr">
        <is>
          <t>Document</t>
        </is>
      </c>
      <c r="D68" s="16" t="inlineStr"/>
      <c r="E68" s="16" t="inlineStr"/>
      <c r="F68" s="16" t="inlineStr"/>
      <c r="G68" s="16" t="inlineStr">
        <is>
          <t>Not Started</t>
        </is>
      </c>
      <c r="H68" s="16" t="inlineStr">
        <is>
          <t>Not Reviewed</t>
        </is>
      </c>
      <c r="I68" s="16" t="inlineStr"/>
      <c r="J68" s="20" t="inlineStr"/>
      <c r="K68" s="20" t="inlineStr"/>
      <c r="L68" s="16" t="inlineStr"/>
      <c r="M68" s="16" t="inlineStr"/>
      <c r="N68" s="16" t="inlineStr">
        <is>
          <t>CUI</t>
        </is>
      </c>
      <c r="O68" s="16" t="inlineStr"/>
      <c r="P68" s="16" t="inlineStr"/>
    </row>
    <row r="69">
      <c r="A69" s="16" t="inlineStr"/>
      <c r="B69" s="16" t="inlineStr"/>
      <c r="C69" s="16" t="inlineStr">
        <is>
          <t>Document</t>
        </is>
      </c>
      <c r="D69" s="16" t="inlineStr"/>
      <c r="E69" s="16" t="inlineStr"/>
      <c r="F69" s="16" t="inlineStr"/>
      <c r="G69" s="16" t="inlineStr">
        <is>
          <t>Not Started</t>
        </is>
      </c>
      <c r="H69" s="16" t="inlineStr">
        <is>
          <t>Not Reviewed</t>
        </is>
      </c>
      <c r="I69" s="16" t="inlineStr"/>
      <c r="J69" s="20" t="inlineStr"/>
      <c r="K69" s="20" t="inlineStr"/>
      <c r="L69" s="16" t="inlineStr"/>
      <c r="M69" s="16" t="inlineStr"/>
      <c r="N69" s="16" t="inlineStr">
        <is>
          <t>CUI</t>
        </is>
      </c>
      <c r="O69" s="16" t="inlineStr"/>
      <c r="P69" s="16" t="inlineStr"/>
    </row>
    <row r="70">
      <c r="A70" s="16" t="inlineStr"/>
      <c r="B70" s="16" t="inlineStr"/>
      <c r="C70" s="16" t="inlineStr">
        <is>
          <t>Document</t>
        </is>
      </c>
      <c r="D70" s="16" t="inlineStr"/>
      <c r="E70" s="16" t="inlineStr"/>
      <c r="F70" s="16" t="inlineStr"/>
      <c r="G70" s="16" t="inlineStr">
        <is>
          <t>Not Started</t>
        </is>
      </c>
      <c r="H70" s="16" t="inlineStr">
        <is>
          <t>Not Reviewed</t>
        </is>
      </c>
      <c r="I70" s="16" t="inlineStr"/>
      <c r="J70" s="20" t="inlineStr"/>
      <c r="K70" s="20" t="inlineStr"/>
      <c r="L70" s="16" t="inlineStr"/>
      <c r="M70" s="16" t="inlineStr"/>
      <c r="N70" s="16" t="inlineStr">
        <is>
          <t>CUI</t>
        </is>
      </c>
      <c r="O70" s="16" t="inlineStr"/>
      <c r="P70" s="16" t="inlineStr"/>
    </row>
    <row r="71">
      <c r="A71" s="16" t="inlineStr"/>
      <c r="B71" s="16" t="inlineStr"/>
      <c r="C71" s="16" t="inlineStr">
        <is>
          <t>Document</t>
        </is>
      </c>
      <c r="D71" s="16" t="inlineStr"/>
      <c r="E71" s="16" t="inlineStr"/>
      <c r="F71" s="16" t="inlineStr"/>
      <c r="G71" s="16" t="inlineStr">
        <is>
          <t>Not Started</t>
        </is>
      </c>
      <c r="H71" s="16" t="inlineStr">
        <is>
          <t>Not Reviewed</t>
        </is>
      </c>
      <c r="I71" s="16" t="inlineStr"/>
      <c r="J71" s="20" t="inlineStr"/>
      <c r="K71" s="20" t="inlineStr"/>
      <c r="L71" s="16" t="inlineStr"/>
      <c r="M71" s="16" t="inlineStr"/>
      <c r="N71" s="16" t="inlineStr">
        <is>
          <t>CUI</t>
        </is>
      </c>
      <c r="O71" s="16" t="inlineStr"/>
      <c r="P71" s="16" t="inlineStr"/>
    </row>
    <row r="72">
      <c r="A72" s="16" t="inlineStr"/>
      <c r="B72" s="16" t="inlineStr"/>
      <c r="C72" s="16" t="inlineStr">
        <is>
          <t>Document</t>
        </is>
      </c>
      <c r="D72" s="16" t="inlineStr"/>
      <c r="E72" s="16" t="inlineStr"/>
      <c r="F72" s="16" t="inlineStr"/>
      <c r="G72" s="16" t="inlineStr">
        <is>
          <t>Not Started</t>
        </is>
      </c>
      <c r="H72" s="16" t="inlineStr">
        <is>
          <t>Not Reviewed</t>
        </is>
      </c>
      <c r="I72" s="16" t="inlineStr"/>
      <c r="J72" s="20" t="inlineStr"/>
      <c r="K72" s="20" t="inlineStr"/>
      <c r="L72" s="16" t="inlineStr"/>
      <c r="M72" s="16" t="inlineStr"/>
      <c r="N72" s="16" t="inlineStr">
        <is>
          <t>CUI</t>
        </is>
      </c>
      <c r="O72" s="16" t="inlineStr"/>
      <c r="P72" s="16" t="inlineStr"/>
    </row>
    <row r="73">
      <c r="A73" s="16" t="inlineStr"/>
      <c r="B73" s="16" t="inlineStr"/>
      <c r="C73" s="16" t="inlineStr">
        <is>
          <t>Document</t>
        </is>
      </c>
      <c r="D73" s="16" t="inlineStr"/>
      <c r="E73" s="16" t="inlineStr"/>
      <c r="F73" s="16" t="inlineStr"/>
      <c r="G73" s="16" t="inlineStr">
        <is>
          <t>Not Started</t>
        </is>
      </c>
      <c r="H73" s="16" t="inlineStr">
        <is>
          <t>Not Reviewed</t>
        </is>
      </c>
      <c r="I73" s="16" t="inlineStr"/>
      <c r="J73" s="20" t="inlineStr"/>
      <c r="K73" s="20" t="inlineStr"/>
      <c r="L73" s="16" t="inlineStr"/>
      <c r="M73" s="16" t="inlineStr"/>
      <c r="N73" s="16" t="inlineStr">
        <is>
          <t>CUI</t>
        </is>
      </c>
      <c r="O73" s="16" t="inlineStr"/>
      <c r="P73" s="16" t="inlineStr"/>
    </row>
    <row r="74">
      <c r="A74" s="16" t="inlineStr"/>
      <c r="B74" s="16" t="inlineStr"/>
      <c r="C74" s="16" t="inlineStr">
        <is>
          <t>Document</t>
        </is>
      </c>
      <c r="D74" s="16" t="inlineStr"/>
      <c r="E74" s="16" t="inlineStr"/>
      <c r="F74" s="16" t="inlineStr"/>
      <c r="G74" s="16" t="inlineStr">
        <is>
          <t>Not Started</t>
        </is>
      </c>
      <c r="H74" s="16" t="inlineStr">
        <is>
          <t>Not Reviewed</t>
        </is>
      </c>
      <c r="I74" s="16" t="inlineStr"/>
      <c r="J74" s="20" t="inlineStr"/>
      <c r="K74" s="20" t="inlineStr"/>
      <c r="L74" s="16" t="inlineStr"/>
      <c r="M74" s="16" t="inlineStr"/>
      <c r="N74" s="16" t="inlineStr">
        <is>
          <t>CUI</t>
        </is>
      </c>
      <c r="O74" s="16" t="inlineStr"/>
      <c r="P74" s="16" t="inlineStr"/>
    </row>
    <row r="75">
      <c r="A75" s="16" t="inlineStr"/>
      <c r="B75" s="16" t="inlineStr"/>
      <c r="C75" s="16" t="inlineStr">
        <is>
          <t>Document</t>
        </is>
      </c>
      <c r="D75" s="16" t="inlineStr"/>
      <c r="E75" s="16" t="inlineStr"/>
      <c r="F75" s="16" t="inlineStr"/>
      <c r="G75" s="16" t="inlineStr">
        <is>
          <t>Not Started</t>
        </is>
      </c>
      <c r="H75" s="16" t="inlineStr">
        <is>
          <t>Not Reviewed</t>
        </is>
      </c>
      <c r="I75" s="16" t="inlineStr"/>
      <c r="J75" s="20" t="inlineStr"/>
      <c r="K75" s="20" t="inlineStr"/>
      <c r="L75" s="16" t="inlineStr"/>
      <c r="M75" s="16" t="inlineStr"/>
      <c r="N75" s="16" t="inlineStr">
        <is>
          <t>CUI</t>
        </is>
      </c>
      <c r="O75" s="16" t="inlineStr"/>
      <c r="P75" s="16" t="inlineStr"/>
    </row>
    <row r="76">
      <c r="A76" s="16" t="inlineStr"/>
      <c r="B76" s="16" t="inlineStr"/>
      <c r="C76" s="16" t="inlineStr">
        <is>
          <t>Document</t>
        </is>
      </c>
      <c r="D76" s="16" t="inlineStr"/>
      <c r="E76" s="16" t="inlineStr"/>
      <c r="F76" s="16" t="inlineStr"/>
      <c r="G76" s="16" t="inlineStr">
        <is>
          <t>Not Started</t>
        </is>
      </c>
      <c r="H76" s="16" t="inlineStr">
        <is>
          <t>Not Reviewed</t>
        </is>
      </c>
      <c r="I76" s="16" t="inlineStr"/>
      <c r="J76" s="20" t="inlineStr"/>
      <c r="K76" s="20" t="inlineStr"/>
      <c r="L76" s="16" t="inlineStr"/>
      <c r="M76" s="16" t="inlineStr"/>
      <c r="N76" s="16" t="inlineStr">
        <is>
          <t>CUI</t>
        </is>
      </c>
      <c r="O76" s="16" t="inlineStr"/>
      <c r="P76" s="16" t="inlineStr"/>
    </row>
    <row r="77">
      <c r="A77" s="16" t="inlineStr"/>
      <c r="B77" s="16" t="inlineStr"/>
      <c r="C77" s="16" t="inlineStr">
        <is>
          <t>Document</t>
        </is>
      </c>
      <c r="D77" s="16" t="inlineStr"/>
      <c r="E77" s="16" t="inlineStr"/>
      <c r="F77" s="16" t="inlineStr"/>
      <c r="G77" s="16" t="inlineStr">
        <is>
          <t>Not Started</t>
        </is>
      </c>
      <c r="H77" s="16" t="inlineStr">
        <is>
          <t>Not Reviewed</t>
        </is>
      </c>
      <c r="I77" s="16" t="inlineStr"/>
      <c r="J77" s="20" t="inlineStr"/>
      <c r="K77" s="20" t="inlineStr"/>
      <c r="L77" s="16" t="inlineStr"/>
      <c r="M77" s="16" t="inlineStr"/>
      <c r="N77" s="16" t="inlineStr">
        <is>
          <t>CUI</t>
        </is>
      </c>
      <c r="O77" s="16" t="inlineStr"/>
      <c r="P77" s="16" t="inlineStr"/>
    </row>
    <row r="78">
      <c r="A78" s="16" t="inlineStr"/>
      <c r="B78" s="16" t="inlineStr"/>
      <c r="C78" s="16" t="inlineStr">
        <is>
          <t>Document</t>
        </is>
      </c>
      <c r="D78" s="16" t="inlineStr"/>
      <c r="E78" s="16" t="inlineStr"/>
      <c r="F78" s="16" t="inlineStr"/>
      <c r="G78" s="16" t="inlineStr">
        <is>
          <t>Not Started</t>
        </is>
      </c>
      <c r="H78" s="16" t="inlineStr">
        <is>
          <t>Not Reviewed</t>
        </is>
      </c>
      <c r="I78" s="16" t="inlineStr"/>
      <c r="J78" s="20" t="inlineStr"/>
      <c r="K78" s="20" t="inlineStr"/>
      <c r="L78" s="16" t="inlineStr"/>
      <c r="M78" s="16" t="inlineStr"/>
      <c r="N78" s="16" t="inlineStr">
        <is>
          <t>CUI</t>
        </is>
      </c>
      <c r="O78" s="16" t="inlineStr"/>
      <c r="P78" s="16" t="inlineStr"/>
    </row>
    <row r="79">
      <c r="A79" s="16" t="inlineStr"/>
      <c r="B79" s="16" t="inlineStr"/>
      <c r="C79" s="16" t="inlineStr">
        <is>
          <t>Document</t>
        </is>
      </c>
      <c r="D79" s="16" t="inlineStr"/>
      <c r="E79" s="16" t="inlineStr"/>
      <c r="F79" s="16" t="inlineStr"/>
      <c r="G79" s="16" t="inlineStr">
        <is>
          <t>Not Started</t>
        </is>
      </c>
      <c r="H79" s="16" t="inlineStr">
        <is>
          <t>Not Reviewed</t>
        </is>
      </c>
      <c r="I79" s="16" t="inlineStr"/>
      <c r="J79" s="20" t="inlineStr"/>
      <c r="K79" s="20" t="inlineStr"/>
      <c r="L79" s="16" t="inlineStr"/>
      <c r="M79" s="16" t="inlineStr"/>
      <c r="N79" s="16" t="inlineStr">
        <is>
          <t>CUI</t>
        </is>
      </c>
      <c r="O79" s="16" t="inlineStr"/>
      <c r="P79" s="16" t="inlineStr"/>
    </row>
    <row r="80">
      <c r="A80" s="16" t="inlineStr"/>
      <c r="B80" s="16" t="inlineStr"/>
      <c r="C80" s="16" t="inlineStr">
        <is>
          <t>Document</t>
        </is>
      </c>
      <c r="D80" s="16" t="inlineStr"/>
      <c r="E80" s="16" t="inlineStr"/>
      <c r="F80" s="16" t="inlineStr"/>
      <c r="G80" s="16" t="inlineStr">
        <is>
          <t>Not Started</t>
        </is>
      </c>
      <c r="H80" s="16" t="inlineStr">
        <is>
          <t>Not Reviewed</t>
        </is>
      </c>
      <c r="I80" s="16" t="inlineStr"/>
      <c r="J80" s="20" t="inlineStr"/>
      <c r="K80" s="20" t="inlineStr"/>
      <c r="L80" s="16" t="inlineStr"/>
      <c r="M80" s="16" t="inlineStr"/>
      <c r="N80" s="16" t="inlineStr">
        <is>
          <t>CUI</t>
        </is>
      </c>
      <c r="O80" s="16" t="inlineStr"/>
      <c r="P80" s="16" t="inlineStr"/>
    </row>
    <row r="81">
      <c r="A81" s="16" t="inlineStr"/>
      <c r="B81" s="16" t="inlineStr"/>
      <c r="C81" s="16" t="inlineStr">
        <is>
          <t>Document</t>
        </is>
      </c>
      <c r="D81" s="16" t="inlineStr"/>
      <c r="E81" s="16" t="inlineStr"/>
      <c r="F81" s="16" t="inlineStr"/>
      <c r="G81" s="16" t="inlineStr">
        <is>
          <t>Not Started</t>
        </is>
      </c>
      <c r="H81" s="16" t="inlineStr">
        <is>
          <t>Not Reviewed</t>
        </is>
      </c>
      <c r="I81" s="16" t="inlineStr"/>
      <c r="J81" s="20" t="inlineStr"/>
      <c r="K81" s="20" t="inlineStr"/>
      <c r="L81" s="16" t="inlineStr"/>
      <c r="M81" s="16" t="inlineStr"/>
      <c r="N81" s="16" t="inlineStr">
        <is>
          <t>CUI</t>
        </is>
      </c>
      <c r="O81" s="16" t="inlineStr"/>
      <c r="P81" s="16" t="inlineStr"/>
    </row>
    <row r="82">
      <c r="A82" s="16" t="inlineStr"/>
      <c r="B82" s="16" t="inlineStr"/>
      <c r="C82" s="16" t="inlineStr">
        <is>
          <t>Document</t>
        </is>
      </c>
      <c r="D82" s="16" t="inlineStr"/>
      <c r="E82" s="16" t="inlineStr"/>
      <c r="F82" s="16" t="inlineStr"/>
      <c r="G82" s="16" t="inlineStr">
        <is>
          <t>Not Started</t>
        </is>
      </c>
      <c r="H82" s="16" t="inlineStr">
        <is>
          <t>Not Reviewed</t>
        </is>
      </c>
      <c r="I82" s="16" t="inlineStr"/>
      <c r="J82" s="20" t="inlineStr"/>
      <c r="K82" s="20" t="inlineStr"/>
      <c r="L82" s="16" t="inlineStr"/>
      <c r="M82" s="16" t="inlineStr"/>
      <c r="N82" s="16" t="inlineStr">
        <is>
          <t>CUI</t>
        </is>
      </c>
      <c r="O82" s="16" t="inlineStr"/>
      <c r="P82" s="16" t="inlineStr"/>
    </row>
    <row r="83">
      <c r="A83" s="16" t="inlineStr"/>
      <c r="B83" s="16" t="inlineStr"/>
      <c r="C83" s="16" t="inlineStr">
        <is>
          <t>Document</t>
        </is>
      </c>
      <c r="D83" s="16" t="inlineStr"/>
      <c r="E83" s="16" t="inlineStr"/>
      <c r="F83" s="16" t="inlineStr"/>
      <c r="G83" s="16" t="inlineStr">
        <is>
          <t>Not Started</t>
        </is>
      </c>
      <c r="H83" s="16" t="inlineStr">
        <is>
          <t>Not Reviewed</t>
        </is>
      </c>
      <c r="I83" s="16" t="inlineStr"/>
      <c r="J83" s="20" t="inlineStr"/>
      <c r="K83" s="20" t="inlineStr"/>
      <c r="L83" s="16" t="inlineStr"/>
      <c r="M83" s="16" t="inlineStr"/>
      <c r="N83" s="16" t="inlineStr">
        <is>
          <t>CUI</t>
        </is>
      </c>
      <c r="O83" s="16" t="inlineStr"/>
      <c r="P83" s="16" t="inlineStr"/>
    </row>
    <row r="84">
      <c r="A84" s="16" t="inlineStr"/>
      <c r="B84" s="16" t="inlineStr"/>
      <c r="C84" s="16" t="inlineStr">
        <is>
          <t>Document</t>
        </is>
      </c>
      <c r="D84" s="16" t="inlineStr"/>
      <c r="E84" s="16" t="inlineStr"/>
      <c r="F84" s="16" t="inlineStr"/>
      <c r="G84" s="16" t="inlineStr">
        <is>
          <t>Not Started</t>
        </is>
      </c>
      <c r="H84" s="16" t="inlineStr">
        <is>
          <t>Not Reviewed</t>
        </is>
      </c>
      <c r="I84" s="16" t="inlineStr"/>
      <c r="J84" s="20" t="inlineStr"/>
      <c r="K84" s="20" t="inlineStr"/>
      <c r="L84" s="16" t="inlineStr"/>
      <c r="M84" s="16" t="inlineStr"/>
      <c r="N84" s="16" t="inlineStr">
        <is>
          <t>CUI</t>
        </is>
      </c>
      <c r="O84" s="16" t="inlineStr"/>
      <c r="P84" s="16" t="inlineStr"/>
    </row>
    <row r="85">
      <c r="A85" s="16" t="inlineStr"/>
      <c r="B85" s="16" t="inlineStr"/>
      <c r="C85" s="16" t="inlineStr">
        <is>
          <t>Document</t>
        </is>
      </c>
      <c r="D85" s="16" t="inlineStr"/>
      <c r="E85" s="16" t="inlineStr"/>
      <c r="F85" s="16" t="inlineStr"/>
      <c r="G85" s="16" t="inlineStr">
        <is>
          <t>Not Started</t>
        </is>
      </c>
      <c r="H85" s="16" t="inlineStr">
        <is>
          <t>Not Reviewed</t>
        </is>
      </c>
      <c r="I85" s="16" t="inlineStr"/>
      <c r="J85" s="20" t="inlineStr"/>
      <c r="K85" s="20" t="inlineStr"/>
      <c r="L85" s="16" t="inlineStr"/>
      <c r="M85" s="16" t="inlineStr"/>
      <c r="N85" s="16" t="inlineStr">
        <is>
          <t>CUI</t>
        </is>
      </c>
      <c r="O85" s="16" t="inlineStr"/>
      <c r="P85" s="16" t="inlineStr"/>
    </row>
    <row r="86">
      <c r="A86" s="16" t="inlineStr"/>
      <c r="B86" s="16" t="inlineStr"/>
      <c r="C86" s="16" t="inlineStr">
        <is>
          <t>Document</t>
        </is>
      </c>
      <c r="D86" s="16" t="inlineStr"/>
      <c r="E86" s="16" t="inlineStr"/>
      <c r="F86" s="16" t="inlineStr"/>
      <c r="G86" s="16" t="inlineStr">
        <is>
          <t>Not Started</t>
        </is>
      </c>
      <c r="H86" s="16" t="inlineStr">
        <is>
          <t>Not Reviewed</t>
        </is>
      </c>
      <c r="I86" s="16" t="inlineStr"/>
      <c r="J86" s="20" t="inlineStr"/>
      <c r="K86" s="20" t="inlineStr"/>
      <c r="L86" s="16" t="inlineStr"/>
      <c r="M86" s="16" t="inlineStr"/>
      <c r="N86" s="16" t="inlineStr">
        <is>
          <t>CUI</t>
        </is>
      </c>
      <c r="O86" s="16" t="inlineStr"/>
      <c r="P86" s="16" t="inlineStr"/>
    </row>
    <row r="87">
      <c r="A87" s="16" t="inlineStr"/>
      <c r="B87" s="16" t="inlineStr"/>
      <c r="C87" s="16" t="inlineStr">
        <is>
          <t>Document</t>
        </is>
      </c>
      <c r="D87" s="16" t="inlineStr"/>
      <c r="E87" s="16" t="inlineStr"/>
      <c r="F87" s="16" t="inlineStr"/>
      <c r="G87" s="16" t="inlineStr">
        <is>
          <t>Not Started</t>
        </is>
      </c>
      <c r="H87" s="16" t="inlineStr">
        <is>
          <t>Not Reviewed</t>
        </is>
      </c>
      <c r="I87" s="16" t="inlineStr"/>
      <c r="J87" s="20" t="inlineStr"/>
      <c r="K87" s="20" t="inlineStr"/>
      <c r="L87" s="16" t="inlineStr"/>
      <c r="M87" s="16" t="inlineStr"/>
      <c r="N87" s="16" t="inlineStr">
        <is>
          <t>CUI</t>
        </is>
      </c>
      <c r="O87" s="16" t="inlineStr"/>
      <c r="P87" s="16" t="inlineStr"/>
    </row>
    <row r="88">
      <c r="A88" s="16" t="inlineStr"/>
      <c r="B88" s="16" t="inlineStr"/>
      <c r="C88" s="16" t="inlineStr">
        <is>
          <t>Document</t>
        </is>
      </c>
      <c r="D88" s="16" t="inlineStr"/>
      <c r="E88" s="16" t="inlineStr"/>
      <c r="F88" s="16" t="inlineStr"/>
      <c r="G88" s="16" t="inlineStr">
        <is>
          <t>Not Started</t>
        </is>
      </c>
      <c r="H88" s="16" t="inlineStr">
        <is>
          <t>Not Reviewed</t>
        </is>
      </c>
      <c r="I88" s="16" t="inlineStr"/>
      <c r="J88" s="20" t="inlineStr"/>
      <c r="K88" s="20" t="inlineStr"/>
      <c r="L88" s="16" t="inlineStr"/>
      <c r="M88" s="16" t="inlineStr"/>
      <c r="N88" s="16" t="inlineStr">
        <is>
          <t>CUI</t>
        </is>
      </c>
      <c r="O88" s="16" t="inlineStr"/>
      <c r="P88" s="16" t="inlineStr"/>
    </row>
    <row r="89">
      <c r="A89" s="16" t="inlineStr"/>
      <c r="B89" s="16" t="inlineStr"/>
      <c r="C89" s="16" t="inlineStr">
        <is>
          <t>Document</t>
        </is>
      </c>
      <c r="D89" s="16" t="inlineStr"/>
      <c r="E89" s="16" t="inlineStr"/>
      <c r="F89" s="16" t="inlineStr"/>
      <c r="G89" s="16" t="inlineStr">
        <is>
          <t>Not Started</t>
        </is>
      </c>
      <c r="H89" s="16" t="inlineStr">
        <is>
          <t>Not Reviewed</t>
        </is>
      </c>
      <c r="I89" s="16" t="inlineStr"/>
      <c r="J89" s="20" t="inlineStr"/>
      <c r="K89" s="20" t="inlineStr"/>
      <c r="L89" s="16" t="inlineStr"/>
      <c r="M89" s="16" t="inlineStr"/>
      <c r="N89" s="16" t="inlineStr">
        <is>
          <t>CUI</t>
        </is>
      </c>
      <c r="O89" s="16" t="inlineStr"/>
      <c r="P89" s="16" t="inlineStr"/>
    </row>
    <row r="90">
      <c r="A90" s="16" t="inlineStr"/>
      <c r="B90" s="16" t="inlineStr"/>
      <c r="C90" s="16" t="inlineStr">
        <is>
          <t>Document</t>
        </is>
      </c>
      <c r="D90" s="16" t="inlineStr"/>
      <c r="E90" s="16" t="inlineStr"/>
      <c r="F90" s="16" t="inlineStr"/>
      <c r="G90" s="16" t="inlineStr">
        <is>
          <t>Not Started</t>
        </is>
      </c>
      <c r="H90" s="16" t="inlineStr">
        <is>
          <t>Not Reviewed</t>
        </is>
      </c>
      <c r="I90" s="16" t="inlineStr"/>
      <c r="J90" s="20" t="inlineStr"/>
      <c r="K90" s="20" t="inlineStr"/>
      <c r="L90" s="16" t="inlineStr"/>
      <c r="M90" s="16" t="inlineStr"/>
      <c r="N90" s="16" t="inlineStr">
        <is>
          <t>CUI</t>
        </is>
      </c>
      <c r="O90" s="16" t="inlineStr"/>
      <c r="P90" s="16" t="inlineStr"/>
    </row>
    <row r="91">
      <c r="A91" s="16" t="inlineStr"/>
      <c r="B91" s="16" t="inlineStr"/>
      <c r="C91" s="16" t="inlineStr">
        <is>
          <t>Document</t>
        </is>
      </c>
      <c r="D91" s="16" t="inlineStr"/>
      <c r="E91" s="16" t="inlineStr"/>
      <c r="F91" s="16" t="inlineStr"/>
      <c r="G91" s="16" t="inlineStr">
        <is>
          <t>Not Started</t>
        </is>
      </c>
      <c r="H91" s="16" t="inlineStr">
        <is>
          <t>Not Reviewed</t>
        </is>
      </c>
      <c r="I91" s="16" t="inlineStr"/>
      <c r="J91" s="20" t="inlineStr"/>
      <c r="K91" s="20" t="inlineStr"/>
      <c r="L91" s="16" t="inlineStr"/>
      <c r="M91" s="16" t="inlineStr"/>
      <c r="N91" s="16" t="inlineStr">
        <is>
          <t>CUI</t>
        </is>
      </c>
      <c r="O91" s="16" t="inlineStr"/>
      <c r="P91" s="16" t="inlineStr"/>
    </row>
    <row r="92">
      <c r="A92" s="16" t="inlineStr"/>
      <c r="B92" s="16" t="inlineStr"/>
      <c r="C92" s="16" t="inlineStr">
        <is>
          <t>Document</t>
        </is>
      </c>
      <c r="D92" s="16" t="inlineStr"/>
      <c r="E92" s="16" t="inlineStr"/>
      <c r="F92" s="16" t="inlineStr"/>
      <c r="G92" s="16" t="inlineStr">
        <is>
          <t>Not Started</t>
        </is>
      </c>
      <c r="H92" s="16" t="inlineStr">
        <is>
          <t>Not Reviewed</t>
        </is>
      </c>
      <c r="I92" s="16" t="inlineStr"/>
      <c r="J92" s="20" t="inlineStr"/>
      <c r="K92" s="20" t="inlineStr"/>
      <c r="L92" s="16" t="inlineStr"/>
      <c r="M92" s="16" t="inlineStr"/>
      <c r="N92" s="16" t="inlineStr">
        <is>
          <t>CUI</t>
        </is>
      </c>
      <c r="O92" s="16" t="inlineStr"/>
      <c r="P92" s="16" t="inlineStr"/>
    </row>
    <row r="93">
      <c r="A93" s="16" t="inlineStr"/>
      <c r="B93" s="16" t="inlineStr"/>
      <c r="C93" s="16" t="inlineStr">
        <is>
          <t>Document</t>
        </is>
      </c>
      <c r="D93" s="16" t="inlineStr"/>
      <c r="E93" s="16" t="inlineStr"/>
      <c r="F93" s="16" t="inlineStr"/>
      <c r="G93" s="16" t="inlineStr">
        <is>
          <t>Not Started</t>
        </is>
      </c>
      <c r="H93" s="16" t="inlineStr">
        <is>
          <t>Not Reviewed</t>
        </is>
      </c>
      <c r="I93" s="16" t="inlineStr"/>
      <c r="J93" s="20" t="inlineStr"/>
      <c r="K93" s="20" t="inlineStr"/>
      <c r="L93" s="16" t="inlineStr"/>
      <c r="M93" s="16" t="inlineStr"/>
      <c r="N93" s="16" t="inlineStr">
        <is>
          <t>CUI</t>
        </is>
      </c>
      <c r="O93" s="16" t="inlineStr"/>
      <c r="P93" s="16" t="inlineStr"/>
    </row>
    <row r="94">
      <c r="A94" s="16" t="inlineStr"/>
      <c r="B94" s="16" t="inlineStr"/>
      <c r="C94" s="16" t="inlineStr">
        <is>
          <t>Document</t>
        </is>
      </c>
      <c r="D94" s="16" t="inlineStr"/>
      <c r="E94" s="16" t="inlineStr"/>
      <c r="F94" s="16" t="inlineStr"/>
      <c r="G94" s="16" t="inlineStr">
        <is>
          <t>Not Started</t>
        </is>
      </c>
      <c r="H94" s="16" t="inlineStr">
        <is>
          <t>Not Reviewed</t>
        </is>
      </c>
      <c r="I94" s="16" t="inlineStr"/>
      <c r="J94" s="20" t="inlineStr"/>
      <c r="K94" s="20" t="inlineStr"/>
      <c r="L94" s="16" t="inlineStr"/>
      <c r="M94" s="16" t="inlineStr"/>
      <c r="N94" s="16" t="inlineStr">
        <is>
          <t>CUI</t>
        </is>
      </c>
      <c r="O94" s="16" t="inlineStr"/>
      <c r="P94" s="16" t="inlineStr"/>
    </row>
    <row r="95">
      <c r="A95" s="16" t="inlineStr"/>
      <c r="B95" s="16" t="inlineStr"/>
      <c r="C95" s="16" t="inlineStr">
        <is>
          <t>Document</t>
        </is>
      </c>
      <c r="D95" s="16" t="inlineStr"/>
      <c r="E95" s="16" t="inlineStr"/>
      <c r="F95" s="16" t="inlineStr"/>
      <c r="G95" s="16" t="inlineStr">
        <is>
          <t>Not Started</t>
        </is>
      </c>
      <c r="H95" s="16" t="inlineStr">
        <is>
          <t>Not Reviewed</t>
        </is>
      </c>
      <c r="I95" s="16" t="inlineStr"/>
      <c r="J95" s="20" t="inlineStr"/>
      <c r="K95" s="20" t="inlineStr"/>
      <c r="L95" s="16" t="inlineStr"/>
      <c r="M95" s="16" t="inlineStr"/>
      <c r="N95" s="16" t="inlineStr">
        <is>
          <t>CUI</t>
        </is>
      </c>
      <c r="O95" s="16" t="inlineStr"/>
      <c r="P95" s="16" t="inlineStr"/>
    </row>
    <row r="96">
      <c r="A96" s="16" t="inlineStr"/>
      <c r="B96" s="16" t="inlineStr"/>
      <c r="C96" s="16" t="inlineStr">
        <is>
          <t>Document</t>
        </is>
      </c>
      <c r="D96" s="16" t="inlineStr"/>
      <c r="E96" s="16" t="inlineStr"/>
      <c r="F96" s="16" t="inlineStr"/>
      <c r="G96" s="16" t="inlineStr">
        <is>
          <t>Not Started</t>
        </is>
      </c>
      <c r="H96" s="16" t="inlineStr">
        <is>
          <t>Not Reviewed</t>
        </is>
      </c>
      <c r="I96" s="16" t="inlineStr"/>
      <c r="J96" s="20" t="inlineStr"/>
      <c r="K96" s="20" t="inlineStr"/>
      <c r="L96" s="16" t="inlineStr"/>
      <c r="M96" s="16" t="inlineStr"/>
      <c r="N96" s="16" t="inlineStr">
        <is>
          <t>CUI</t>
        </is>
      </c>
      <c r="O96" s="16" t="inlineStr"/>
      <c r="P96" s="16" t="inlineStr"/>
    </row>
    <row r="97">
      <c r="A97" s="16" t="inlineStr"/>
      <c r="B97" s="16" t="inlineStr"/>
      <c r="C97" s="16" t="inlineStr">
        <is>
          <t>Document</t>
        </is>
      </c>
      <c r="D97" s="16" t="inlineStr"/>
      <c r="E97" s="16" t="inlineStr"/>
      <c r="F97" s="16" t="inlineStr"/>
      <c r="G97" s="16" t="inlineStr">
        <is>
          <t>Not Started</t>
        </is>
      </c>
      <c r="H97" s="16" t="inlineStr">
        <is>
          <t>Not Reviewed</t>
        </is>
      </c>
      <c r="I97" s="16" t="inlineStr"/>
      <c r="J97" s="20" t="inlineStr"/>
      <c r="K97" s="20" t="inlineStr"/>
      <c r="L97" s="16" t="inlineStr"/>
      <c r="M97" s="16" t="inlineStr"/>
      <c r="N97" s="16" t="inlineStr">
        <is>
          <t>CUI</t>
        </is>
      </c>
      <c r="O97" s="16" t="inlineStr"/>
      <c r="P97" s="16" t="inlineStr"/>
    </row>
    <row r="98">
      <c r="A98" s="16" t="inlineStr"/>
      <c r="B98" s="16" t="inlineStr"/>
      <c r="C98" s="16" t="inlineStr">
        <is>
          <t>Document</t>
        </is>
      </c>
      <c r="D98" s="16" t="inlineStr"/>
      <c r="E98" s="16" t="inlineStr"/>
      <c r="F98" s="16" t="inlineStr"/>
      <c r="G98" s="16" t="inlineStr">
        <is>
          <t>Not Started</t>
        </is>
      </c>
      <c r="H98" s="16" t="inlineStr">
        <is>
          <t>Not Reviewed</t>
        </is>
      </c>
      <c r="I98" s="16" t="inlineStr"/>
      <c r="J98" s="20" t="inlineStr"/>
      <c r="K98" s="20" t="inlineStr"/>
      <c r="L98" s="16" t="inlineStr"/>
      <c r="M98" s="16" t="inlineStr"/>
      <c r="N98" s="16" t="inlineStr">
        <is>
          <t>CUI</t>
        </is>
      </c>
      <c r="O98" s="16" t="inlineStr"/>
      <c r="P98" s="16" t="inlineStr"/>
    </row>
    <row r="99">
      <c r="A99" s="16" t="inlineStr"/>
      <c r="B99" s="16" t="inlineStr"/>
      <c r="C99" s="16" t="inlineStr">
        <is>
          <t>Document</t>
        </is>
      </c>
      <c r="D99" s="16" t="inlineStr"/>
      <c r="E99" s="16" t="inlineStr"/>
      <c r="F99" s="16" t="inlineStr"/>
      <c r="G99" s="16" t="inlineStr">
        <is>
          <t>Not Started</t>
        </is>
      </c>
      <c r="H99" s="16" t="inlineStr">
        <is>
          <t>Not Reviewed</t>
        </is>
      </c>
      <c r="I99" s="16" t="inlineStr"/>
      <c r="J99" s="20" t="inlineStr"/>
      <c r="K99" s="20" t="inlineStr"/>
      <c r="L99" s="16" t="inlineStr"/>
      <c r="M99" s="16" t="inlineStr"/>
      <c r="N99" s="16" t="inlineStr">
        <is>
          <t>CUI</t>
        </is>
      </c>
      <c r="O99" s="16" t="inlineStr"/>
      <c r="P99" s="16" t="inlineStr"/>
    </row>
    <row r="100">
      <c r="A100" s="16" t="inlineStr"/>
      <c r="B100" s="16" t="inlineStr"/>
      <c r="C100" s="16" t="inlineStr">
        <is>
          <t>Document</t>
        </is>
      </c>
      <c r="D100" s="16" t="inlineStr"/>
      <c r="E100" s="16" t="inlineStr"/>
      <c r="F100" s="16" t="inlineStr"/>
      <c r="G100" s="16" t="inlineStr">
        <is>
          <t>Not Started</t>
        </is>
      </c>
      <c r="H100" s="16" t="inlineStr">
        <is>
          <t>Not Reviewed</t>
        </is>
      </c>
      <c r="I100" s="16" t="inlineStr"/>
      <c r="J100" s="20" t="inlineStr"/>
      <c r="K100" s="20" t="inlineStr"/>
      <c r="L100" s="16" t="inlineStr"/>
      <c r="M100" s="16" t="inlineStr"/>
      <c r="N100" s="16" t="inlineStr">
        <is>
          <t>CUI</t>
        </is>
      </c>
      <c r="O100" s="16" t="inlineStr"/>
      <c r="P100" s="16" t="inlineStr"/>
    </row>
    <row r="101">
      <c r="A101" s="16" t="inlineStr"/>
      <c r="B101" s="16" t="inlineStr"/>
      <c r="C101" s="16" t="inlineStr">
        <is>
          <t>Document</t>
        </is>
      </c>
      <c r="D101" s="16" t="inlineStr"/>
      <c r="E101" s="16" t="inlineStr"/>
      <c r="F101" s="16" t="inlineStr"/>
      <c r="G101" s="16" t="inlineStr">
        <is>
          <t>Not Started</t>
        </is>
      </c>
      <c r="H101" s="16" t="inlineStr">
        <is>
          <t>Not Reviewed</t>
        </is>
      </c>
      <c r="I101" s="16" t="inlineStr"/>
      <c r="J101" s="20" t="inlineStr"/>
      <c r="K101" s="20" t="inlineStr"/>
      <c r="L101" s="16" t="inlineStr"/>
      <c r="M101" s="16" t="inlineStr"/>
      <c r="N101" s="16" t="inlineStr">
        <is>
          <t>CUI</t>
        </is>
      </c>
      <c r="O101" s="16" t="inlineStr"/>
      <c r="P101" s="16" t="inlineStr"/>
    </row>
    <row r="102">
      <c r="A102" s="16" t="inlineStr"/>
      <c r="B102" s="16" t="inlineStr"/>
      <c r="C102" s="16" t="inlineStr">
        <is>
          <t>Document</t>
        </is>
      </c>
      <c r="D102" s="16" t="inlineStr"/>
      <c r="E102" s="16" t="inlineStr"/>
      <c r="F102" s="16" t="inlineStr"/>
      <c r="G102" s="16" t="inlineStr">
        <is>
          <t>Not Started</t>
        </is>
      </c>
      <c r="H102" s="16" t="inlineStr">
        <is>
          <t>Not Reviewed</t>
        </is>
      </c>
      <c r="I102" s="16" t="inlineStr"/>
      <c r="J102" s="20" t="inlineStr"/>
      <c r="K102" s="20" t="inlineStr"/>
      <c r="L102" s="16" t="inlineStr"/>
      <c r="M102" s="16" t="inlineStr"/>
      <c r="N102" s="16" t="inlineStr">
        <is>
          <t>CUI</t>
        </is>
      </c>
      <c r="O102" s="16" t="inlineStr"/>
      <c r="P102" s="16" t="inlineStr"/>
    </row>
    <row r="103">
      <c r="A103" s="16" t="inlineStr"/>
      <c r="B103" s="16" t="inlineStr"/>
      <c r="C103" s="16" t="inlineStr">
        <is>
          <t>Document</t>
        </is>
      </c>
      <c r="D103" s="16" t="inlineStr"/>
      <c r="E103" s="16" t="inlineStr"/>
      <c r="F103" s="16" t="inlineStr"/>
      <c r="G103" s="16" t="inlineStr">
        <is>
          <t>Not Started</t>
        </is>
      </c>
      <c r="H103" s="16" t="inlineStr">
        <is>
          <t>Not Reviewed</t>
        </is>
      </c>
      <c r="I103" s="16" t="inlineStr"/>
      <c r="J103" s="20" t="inlineStr"/>
      <c r="K103" s="20" t="inlineStr"/>
      <c r="L103" s="16" t="inlineStr"/>
      <c r="M103" s="16" t="inlineStr"/>
      <c r="N103" s="16" t="inlineStr">
        <is>
          <t>CUI</t>
        </is>
      </c>
      <c r="O103" s="16" t="inlineStr"/>
      <c r="P103" s="16" t="inlineStr"/>
    </row>
    <row r="104">
      <c r="A104" s="16" t="inlineStr"/>
      <c r="B104" s="16" t="inlineStr"/>
      <c r="C104" s="16" t="inlineStr">
        <is>
          <t>Document</t>
        </is>
      </c>
      <c r="D104" s="16" t="inlineStr"/>
      <c r="E104" s="16" t="inlineStr"/>
      <c r="F104" s="16" t="inlineStr"/>
      <c r="G104" s="16" t="inlineStr">
        <is>
          <t>Not Started</t>
        </is>
      </c>
      <c r="H104" s="16" t="inlineStr">
        <is>
          <t>Not Reviewed</t>
        </is>
      </c>
      <c r="I104" s="16" t="inlineStr"/>
      <c r="J104" s="20" t="inlineStr"/>
      <c r="K104" s="20" t="inlineStr"/>
      <c r="L104" s="16" t="inlineStr"/>
      <c r="M104" s="16" t="inlineStr"/>
      <c r="N104" s="16" t="inlineStr">
        <is>
          <t>CUI</t>
        </is>
      </c>
      <c r="O104" s="16" t="inlineStr"/>
      <c r="P104" s="16" t="inlineStr"/>
    </row>
    <row r="105">
      <c r="A105" s="16" t="inlineStr"/>
      <c r="B105" s="16" t="inlineStr"/>
      <c r="C105" s="16" t="inlineStr">
        <is>
          <t>Document</t>
        </is>
      </c>
      <c r="D105" s="16" t="inlineStr"/>
      <c r="E105" s="16" t="inlineStr"/>
      <c r="F105" s="16" t="inlineStr"/>
      <c r="G105" s="16" t="inlineStr">
        <is>
          <t>Not Started</t>
        </is>
      </c>
      <c r="H105" s="16" t="inlineStr">
        <is>
          <t>Not Reviewed</t>
        </is>
      </c>
      <c r="I105" s="16" t="inlineStr"/>
      <c r="J105" s="20" t="inlineStr"/>
      <c r="K105" s="20" t="inlineStr"/>
      <c r="L105" s="16" t="inlineStr"/>
      <c r="M105" s="16" t="inlineStr"/>
      <c r="N105" s="16" t="inlineStr">
        <is>
          <t>CUI</t>
        </is>
      </c>
      <c r="O105" s="16" t="inlineStr"/>
      <c r="P105" s="16" t="inlineStr"/>
    </row>
    <row r="106">
      <c r="A106" s="16" t="inlineStr"/>
      <c r="B106" s="16" t="inlineStr"/>
      <c r="C106" s="16" t="inlineStr">
        <is>
          <t>Document</t>
        </is>
      </c>
      <c r="D106" s="16" t="inlineStr"/>
      <c r="E106" s="16" t="inlineStr"/>
      <c r="F106" s="16" t="inlineStr"/>
      <c r="G106" s="16" t="inlineStr">
        <is>
          <t>Not Started</t>
        </is>
      </c>
      <c r="H106" s="16" t="inlineStr">
        <is>
          <t>Not Reviewed</t>
        </is>
      </c>
      <c r="I106" s="16" t="inlineStr"/>
      <c r="J106" s="20" t="inlineStr"/>
      <c r="K106" s="20" t="inlineStr"/>
      <c r="L106" s="16" t="inlineStr"/>
      <c r="M106" s="16" t="inlineStr"/>
      <c r="N106" s="16" t="inlineStr">
        <is>
          <t>CUI</t>
        </is>
      </c>
      <c r="O106" s="16" t="inlineStr"/>
      <c r="P106" s="16" t="inlineStr"/>
    </row>
    <row r="107">
      <c r="A107" s="16" t="inlineStr"/>
      <c r="B107" s="16" t="inlineStr"/>
      <c r="C107" s="16" t="inlineStr">
        <is>
          <t>Document</t>
        </is>
      </c>
      <c r="D107" s="16" t="inlineStr"/>
      <c r="E107" s="16" t="inlineStr"/>
      <c r="F107" s="16" t="inlineStr"/>
      <c r="G107" s="16" t="inlineStr">
        <is>
          <t>Not Started</t>
        </is>
      </c>
      <c r="H107" s="16" t="inlineStr">
        <is>
          <t>Not Reviewed</t>
        </is>
      </c>
      <c r="I107" s="16" t="inlineStr"/>
      <c r="J107" s="20" t="inlineStr"/>
      <c r="K107" s="20" t="inlineStr"/>
      <c r="L107" s="16" t="inlineStr"/>
      <c r="M107" s="16" t="inlineStr"/>
      <c r="N107" s="16" t="inlineStr">
        <is>
          <t>CUI</t>
        </is>
      </c>
      <c r="O107" s="16" t="inlineStr"/>
      <c r="P107" s="16" t="inlineStr"/>
    </row>
    <row r="108">
      <c r="A108" s="16" t="inlineStr"/>
      <c r="B108" s="16" t="inlineStr"/>
      <c r="C108" s="16" t="inlineStr">
        <is>
          <t>Document</t>
        </is>
      </c>
      <c r="D108" s="16" t="inlineStr"/>
      <c r="E108" s="16" t="inlineStr"/>
      <c r="F108" s="16" t="inlineStr"/>
      <c r="G108" s="16" t="inlineStr">
        <is>
          <t>Not Started</t>
        </is>
      </c>
      <c r="H108" s="16" t="inlineStr">
        <is>
          <t>Not Reviewed</t>
        </is>
      </c>
      <c r="I108" s="16" t="inlineStr"/>
      <c r="J108" s="20" t="inlineStr"/>
      <c r="K108" s="20" t="inlineStr"/>
      <c r="L108" s="16" t="inlineStr"/>
      <c r="M108" s="16" t="inlineStr"/>
      <c r="N108" s="16" t="inlineStr">
        <is>
          <t>CUI</t>
        </is>
      </c>
      <c r="O108" s="16" t="inlineStr"/>
      <c r="P108" s="16" t="inlineStr"/>
    </row>
    <row r="109">
      <c r="A109" s="16" t="inlineStr"/>
      <c r="B109" s="16" t="inlineStr"/>
      <c r="C109" s="16" t="inlineStr">
        <is>
          <t>Document</t>
        </is>
      </c>
      <c r="D109" s="16" t="inlineStr"/>
      <c r="E109" s="16" t="inlineStr"/>
      <c r="F109" s="16" t="inlineStr"/>
      <c r="G109" s="16" t="inlineStr">
        <is>
          <t>Not Started</t>
        </is>
      </c>
      <c r="H109" s="16" t="inlineStr">
        <is>
          <t>Not Reviewed</t>
        </is>
      </c>
      <c r="I109" s="16" t="inlineStr"/>
      <c r="J109" s="20" t="inlineStr"/>
      <c r="K109" s="20" t="inlineStr"/>
      <c r="L109" s="16" t="inlineStr"/>
      <c r="M109" s="16" t="inlineStr"/>
      <c r="N109" s="16" t="inlineStr">
        <is>
          <t>CUI</t>
        </is>
      </c>
      <c r="O109" s="16" t="inlineStr"/>
      <c r="P109" s="16" t="inlineStr"/>
    </row>
    <row r="110">
      <c r="A110" s="16" t="inlineStr"/>
      <c r="B110" s="16" t="inlineStr"/>
      <c r="C110" s="16" t="inlineStr">
        <is>
          <t>Document</t>
        </is>
      </c>
      <c r="D110" s="16" t="inlineStr"/>
      <c r="E110" s="16" t="inlineStr"/>
      <c r="F110" s="16" t="inlineStr"/>
      <c r="G110" s="16" t="inlineStr">
        <is>
          <t>Not Started</t>
        </is>
      </c>
      <c r="H110" s="16" t="inlineStr">
        <is>
          <t>Not Reviewed</t>
        </is>
      </c>
      <c r="I110" s="16" t="inlineStr"/>
      <c r="J110" s="20" t="inlineStr"/>
      <c r="K110" s="20" t="inlineStr"/>
      <c r="L110" s="16" t="inlineStr"/>
      <c r="M110" s="16" t="inlineStr"/>
      <c r="N110" s="16" t="inlineStr">
        <is>
          <t>CUI</t>
        </is>
      </c>
      <c r="O110" s="16" t="inlineStr"/>
      <c r="P110" s="16" t="inlineStr"/>
    </row>
    <row r="111">
      <c r="A111" s="16" t="inlineStr"/>
      <c r="B111" s="16" t="inlineStr"/>
      <c r="C111" s="16" t="inlineStr">
        <is>
          <t>Document</t>
        </is>
      </c>
      <c r="D111" s="16" t="inlineStr"/>
      <c r="E111" s="16" t="inlineStr"/>
      <c r="F111" s="16" t="inlineStr"/>
      <c r="G111" s="16" t="inlineStr">
        <is>
          <t>Not Started</t>
        </is>
      </c>
      <c r="H111" s="16" t="inlineStr">
        <is>
          <t>Not Reviewed</t>
        </is>
      </c>
      <c r="I111" s="16" t="inlineStr"/>
      <c r="J111" s="20" t="inlineStr"/>
      <c r="K111" s="20" t="inlineStr"/>
      <c r="L111" s="16" t="inlineStr"/>
      <c r="M111" s="16" t="inlineStr"/>
      <c r="N111" s="16" t="inlineStr">
        <is>
          <t>CUI</t>
        </is>
      </c>
      <c r="O111" s="16" t="inlineStr"/>
      <c r="P111" s="16" t="inlineStr"/>
    </row>
    <row r="112">
      <c r="A112" s="16" t="inlineStr"/>
      <c r="B112" s="16" t="inlineStr"/>
      <c r="C112" s="16" t="inlineStr">
        <is>
          <t>Document</t>
        </is>
      </c>
      <c r="D112" s="16" t="inlineStr"/>
      <c r="E112" s="16" t="inlineStr"/>
      <c r="F112" s="16" t="inlineStr"/>
      <c r="G112" s="16" t="inlineStr">
        <is>
          <t>Not Started</t>
        </is>
      </c>
      <c r="H112" s="16" t="inlineStr">
        <is>
          <t>Not Reviewed</t>
        </is>
      </c>
      <c r="I112" s="16" t="inlineStr"/>
      <c r="J112" s="20" t="inlineStr"/>
      <c r="K112" s="20" t="inlineStr"/>
      <c r="L112" s="16" t="inlineStr"/>
      <c r="M112" s="16" t="inlineStr"/>
      <c r="N112" s="16" t="inlineStr">
        <is>
          <t>CUI</t>
        </is>
      </c>
      <c r="O112" s="16" t="inlineStr"/>
      <c r="P112" s="16" t="inlineStr"/>
    </row>
    <row r="113">
      <c r="A113" s="16" t="inlineStr"/>
      <c r="B113" s="16" t="inlineStr"/>
      <c r="C113" s="16" t="inlineStr">
        <is>
          <t>Document</t>
        </is>
      </c>
      <c r="D113" s="16" t="inlineStr"/>
      <c r="E113" s="16" t="inlineStr"/>
      <c r="F113" s="16" t="inlineStr"/>
      <c r="G113" s="16" t="inlineStr">
        <is>
          <t>Not Started</t>
        </is>
      </c>
      <c r="H113" s="16" t="inlineStr">
        <is>
          <t>Not Reviewed</t>
        </is>
      </c>
      <c r="I113" s="16" t="inlineStr"/>
      <c r="J113" s="20" t="inlineStr"/>
      <c r="K113" s="20" t="inlineStr"/>
      <c r="L113" s="16" t="inlineStr"/>
      <c r="M113" s="16" t="inlineStr"/>
      <c r="N113" s="16" t="inlineStr">
        <is>
          <t>CUI</t>
        </is>
      </c>
      <c r="O113" s="16" t="inlineStr"/>
      <c r="P113" s="16" t="inlineStr"/>
    </row>
    <row r="114">
      <c r="A114" s="16" t="inlineStr"/>
      <c r="B114" s="16" t="inlineStr"/>
      <c r="C114" s="16" t="inlineStr">
        <is>
          <t>Document</t>
        </is>
      </c>
      <c r="D114" s="16" t="inlineStr"/>
      <c r="E114" s="16" t="inlineStr"/>
      <c r="F114" s="16" t="inlineStr"/>
      <c r="G114" s="16" t="inlineStr">
        <is>
          <t>Not Started</t>
        </is>
      </c>
      <c r="H114" s="16" t="inlineStr">
        <is>
          <t>Not Reviewed</t>
        </is>
      </c>
      <c r="I114" s="16" t="inlineStr"/>
      <c r="J114" s="20" t="inlineStr"/>
      <c r="K114" s="20" t="inlineStr"/>
      <c r="L114" s="16" t="inlineStr"/>
      <c r="M114" s="16" t="inlineStr"/>
      <c r="N114" s="16" t="inlineStr">
        <is>
          <t>CUI</t>
        </is>
      </c>
      <c r="O114" s="16" t="inlineStr"/>
      <c r="P114" s="16" t="inlineStr"/>
    </row>
    <row r="115">
      <c r="A115" s="16" t="inlineStr"/>
      <c r="B115" s="16" t="inlineStr"/>
      <c r="C115" s="16" t="inlineStr">
        <is>
          <t>Document</t>
        </is>
      </c>
      <c r="D115" s="16" t="inlineStr"/>
      <c r="E115" s="16" t="inlineStr"/>
      <c r="F115" s="16" t="inlineStr"/>
      <c r="G115" s="16" t="inlineStr">
        <is>
          <t>Not Started</t>
        </is>
      </c>
      <c r="H115" s="16" t="inlineStr">
        <is>
          <t>Not Reviewed</t>
        </is>
      </c>
      <c r="I115" s="16" t="inlineStr"/>
      <c r="J115" s="20" t="inlineStr"/>
      <c r="K115" s="20" t="inlineStr"/>
      <c r="L115" s="16" t="inlineStr"/>
      <c r="M115" s="16" t="inlineStr"/>
      <c r="N115" s="16" t="inlineStr">
        <is>
          <t>CUI</t>
        </is>
      </c>
      <c r="O115" s="16" t="inlineStr"/>
      <c r="P115" s="16" t="inlineStr"/>
    </row>
    <row r="116">
      <c r="A116" s="16" t="inlineStr"/>
      <c r="B116" s="16" t="inlineStr"/>
      <c r="C116" s="16" t="inlineStr">
        <is>
          <t>Document</t>
        </is>
      </c>
      <c r="D116" s="16" t="inlineStr"/>
      <c r="E116" s="16" t="inlineStr"/>
      <c r="F116" s="16" t="inlineStr"/>
      <c r="G116" s="16" t="inlineStr">
        <is>
          <t>Not Started</t>
        </is>
      </c>
      <c r="H116" s="16" t="inlineStr">
        <is>
          <t>Not Reviewed</t>
        </is>
      </c>
      <c r="I116" s="16" t="inlineStr"/>
      <c r="J116" s="20" t="inlineStr"/>
      <c r="K116" s="20" t="inlineStr"/>
      <c r="L116" s="16" t="inlineStr"/>
      <c r="M116" s="16" t="inlineStr"/>
      <c r="N116" s="16" t="inlineStr">
        <is>
          <t>CUI</t>
        </is>
      </c>
      <c r="O116" s="16" t="inlineStr"/>
      <c r="P116" s="16" t="inlineStr"/>
    </row>
    <row r="117">
      <c r="A117" s="16" t="inlineStr"/>
      <c r="B117" s="16" t="inlineStr"/>
      <c r="C117" s="16" t="inlineStr">
        <is>
          <t>Document</t>
        </is>
      </c>
      <c r="D117" s="16" t="inlineStr"/>
      <c r="E117" s="16" t="inlineStr"/>
      <c r="F117" s="16" t="inlineStr"/>
      <c r="G117" s="16" t="inlineStr">
        <is>
          <t>Not Started</t>
        </is>
      </c>
      <c r="H117" s="16" t="inlineStr">
        <is>
          <t>Not Reviewed</t>
        </is>
      </c>
      <c r="I117" s="16" t="inlineStr"/>
      <c r="J117" s="20" t="inlineStr"/>
      <c r="K117" s="20" t="inlineStr"/>
      <c r="L117" s="16" t="inlineStr"/>
      <c r="M117" s="16" t="inlineStr"/>
      <c r="N117" s="16" t="inlineStr">
        <is>
          <t>CUI</t>
        </is>
      </c>
      <c r="O117" s="16" t="inlineStr"/>
      <c r="P117" s="16" t="inlineStr"/>
    </row>
    <row r="118">
      <c r="A118" s="16" t="inlineStr"/>
      <c r="B118" s="16" t="inlineStr"/>
      <c r="C118" s="16" t="inlineStr">
        <is>
          <t>Document</t>
        </is>
      </c>
      <c r="D118" s="16" t="inlineStr"/>
      <c r="E118" s="16" t="inlineStr"/>
      <c r="F118" s="16" t="inlineStr"/>
      <c r="G118" s="16" t="inlineStr">
        <is>
          <t>Not Started</t>
        </is>
      </c>
      <c r="H118" s="16" t="inlineStr">
        <is>
          <t>Not Reviewed</t>
        </is>
      </c>
      <c r="I118" s="16" t="inlineStr"/>
      <c r="J118" s="20" t="inlineStr"/>
      <c r="K118" s="20" t="inlineStr"/>
      <c r="L118" s="16" t="inlineStr"/>
      <c r="M118" s="16" t="inlineStr"/>
      <c r="N118" s="16" t="inlineStr">
        <is>
          <t>CUI</t>
        </is>
      </c>
      <c r="O118" s="16" t="inlineStr"/>
      <c r="P118" s="16" t="inlineStr"/>
    </row>
    <row r="119">
      <c r="A119" s="16" t="inlineStr"/>
      <c r="B119" s="16" t="inlineStr"/>
      <c r="C119" s="16" t="inlineStr">
        <is>
          <t>Document</t>
        </is>
      </c>
      <c r="D119" s="16" t="inlineStr"/>
      <c r="E119" s="16" t="inlineStr"/>
      <c r="F119" s="16" t="inlineStr"/>
      <c r="G119" s="16" t="inlineStr">
        <is>
          <t>Not Started</t>
        </is>
      </c>
      <c r="H119" s="16" t="inlineStr">
        <is>
          <t>Not Reviewed</t>
        </is>
      </c>
      <c r="I119" s="16" t="inlineStr"/>
      <c r="J119" s="20" t="inlineStr"/>
      <c r="K119" s="20" t="inlineStr"/>
      <c r="L119" s="16" t="inlineStr"/>
      <c r="M119" s="16" t="inlineStr"/>
      <c r="N119" s="16" t="inlineStr">
        <is>
          <t>CUI</t>
        </is>
      </c>
      <c r="O119" s="16" t="inlineStr"/>
      <c r="P119" s="16" t="inlineStr"/>
    </row>
    <row r="120">
      <c r="A120" s="16" t="inlineStr"/>
      <c r="B120" s="16" t="inlineStr"/>
      <c r="C120" s="16" t="inlineStr">
        <is>
          <t>Document</t>
        </is>
      </c>
      <c r="D120" s="16" t="inlineStr"/>
      <c r="E120" s="16" t="inlineStr"/>
      <c r="F120" s="16" t="inlineStr"/>
      <c r="G120" s="16" t="inlineStr">
        <is>
          <t>Not Started</t>
        </is>
      </c>
      <c r="H120" s="16" t="inlineStr">
        <is>
          <t>Not Reviewed</t>
        </is>
      </c>
      <c r="I120" s="16" t="inlineStr"/>
      <c r="J120" s="20" t="inlineStr"/>
      <c r="K120" s="20" t="inlineStr"/>
      <c r="L120" s="16" t="inlineStr"/>
      <c r="M120" s="16" t="inlineStr"/>
      <c r="N120" s="16" t="inlineStr">
        <is>
          <t>CUI</t>
        </is>
      </c>
      <c r="O120" s="16" t="inlineStr"/>
      <c r="P120" s="16" t="inlineStr"/>
    </row>
    <row r="121">
      <c r="A121" s="16" t="inlineStr"/>
      <c r="B121" s="16" t="inlineStr"/>
      <c r="C121" s="16" t="inlineStr">
        <is>
          <t>Document</t>
        </is>
      </c>
      <c r="D121" s="16" t="inlineStr"/>
      <c r="E121" s="16" t="inlineStr"/>
      <c r="F121" s="16" t="inlineStr"/>
      <c r="G121" s="16" t="inlineStr">
        <is>
          <t>Not Started</t>
        </is>
      </c>
      <c r="H121" s="16" t="inlineStr">
        <is>
          <t>Not Reviewed</t>
        </is>
      </c>
      <c r="I121" s="16" t="inlineStr"/>
      <c r="J121" s="20" t="inlineStr"/>
      <c r="K121" s="20" t="inlineStr"/>
      <c r="L121" s="16" t="inlineStr"/>
      <c r="M121" s="16" t="inlineStr"/>
      <c r="N121" s="16" t="inlineStr">
        <is>
          <t>CUI</t>
        </is>
      </c>
      <c r="O121" s="16" t="inlineStr"/>
      <c r="P121" s="16" t="inlineStr"/>
    </row>
    <row r="122">
      <c r="A122" s="16" t="inlineStr"/>
      <c r="B122" s="16" t="inlineStr"/>
      <c r="C122" s="16" t="inlineStr">
        <is>
          <t>Document</t>
        </is>
      </c>
      <c r="D122" s="16" t="inlineStr"/>
      <c r="E122" s="16" t="inlineStr"/>
      <c r="F122" s="16" t="inlineStr"/>
      <c r="G122" s="16" t="inlineStr">
        <is>
          <t>Not Started</t>
        </is>
      </c>
      <c r="H122" s="16" t="inlineStr">
        <is>
          <t>Not Reviewed</t>
        </is>
      </c>
      <c r="I122" s="16" t="inlineStr"/>
      <c r="J122" s="20" t="inlineStr"/>
      <c r="K122" s="20" t="inlineStr"/>
      <c r="L122" s="16" t="inlineStr"/>
      <c r="M122" s="16" t="inlineStr"/>
      <c r="N122" s="16" t="inlineStr">
        <is>
          <t>CUI</t>
        </is>
      </c>
      <c r="O122" s="16" t="inlineStr"/>
      <c r="P122" s="16" t="inlineStr"/>
    </row>
    <row r="123">
      <c r="A123" s="16" t="inlineStr"/>
      <c r="B123" s="16" t="inlineStr"/>
      <c r="C123" s="16" t="inlineStr">
        <is>
          <t>Document</t>
        </is>
      </c>
      <c r="D123" s="16" t="inlineStr"/>
      <c r="E123" s="16" t="inlineStr"/>
      <c r="F123" s="16" t="inlineStr"/>
      <c r="G123" s="16" t="inlineStr">
        <is>
          <t>Not Started</t>
        </is>
      </c>
      <c r="H123" s="16" t="inlineStr">
        <is>
          <t>Not Reviewed</t>
        </is>
      </c>
      <c r="I123" s="16" t="inlineStr"/>
      <c r="J123" s="20" t="inlineStr"/>
      <c r="K123" s="20" t="inlineStr"/>
      <c r="L123" s="16" t="inlineStr"/>
      <c r="M123" s="16" t="inlineStr"/>
      <c r="N123" s="16" t="inlineStr">
        <is>
          <t>CUI</t>
        </is>
      </c>
      <c r="O123" s="16" t="inlineStr"/>
      <c r="P123" s="16" t="inlineStr"/>
    </row>
    <row r="124">
      <c r="A124" s="16" t="inlineStr"/>
      <c r="B124" s="16" t="inlineStr"/>
      <c r="C124" s="16" t="inlineStr">
        <is>
          <t>Document</t>
        </is>
      </c>
      <c r="D124" s="16" t="inlineStr"/>
      <c r="E124" s="16" t="inlineStr"/>
      <c r="F124" s="16" t="inlineStr"/>
      <c r="G124" s="16" t="inlineStr">
        <is>
          <t>Not Started</t>
        </is>
      </c>
      <c r="H124" s="16" t="inlineStr">
        <is>
          <t>Not Reviewed</t>
        </is>
      </c>
      <c r="I124" s="16" t="inlineStr"/>
      <c r="J124" s="20" t="inlineStr"/>
      <c r="K124" s="20" t="inlineStr"/>
      <c r="L124" s="16" t="inlineStr"/>
      <c r="M124" s="16" t="inlineStr"/>
      <c r="N124" s="16" t="inlineStr">
        <is>
          <t>CUI</t>
        </is>
      </c>
      <c r="O124" s="16" t="inlineStr"/>
      <c r="P124" s="16" t="inlineStr"/>
    </row>
    <row r="125">
      <c r="A125" s="16" t="inlineStr"/>
      <c r="B125" s="16" t="inlineStr"/>
      <c r="C125" s="16" t="inlineStr">
        <is>
          <t>Document</t>
        </is>
      </c>
      <c r="D125" s="16" t="inlineStr"/>
      <c r="E125" s="16" t="inlineStr"/>
      <c r="F125" s="16" t="inlineStr"/>
      <c r="G125" s="16" t="inlineStr">
        <is>
          <t>Not Started</t>
        </is>
      </c>
      <c r="H125" s="16" t="inlineStr">
        <is>
          <t>Not Reviewed</t>
        </is>
      </c>
      <c r="I125" s="16" t="inlineStr"/>
      <c r="J125" s="20" t="inlineStr"/>
      <c r="K125" s="20" t="inlineStr"/>
      <c r="L125" s="16" t="inlineStr"/>
      <c r="M125" s="16" t="inlineStr"/>
      <c r="N125" s="16" t="inlineStr">
        <is>
          <t>CUI</t>
        </is>
      </c>
      <c r="O125" s="16" t="inlineStr"/>
      <c r="P125" s="16" t="inlineStr"/>
    </row>
    <row r="126">
      <c r="A126" s="16" t="inlineStr"/>
      <c r="B126" s="16" t="inlineStr"/>
      <c r="C126" s="16" t="inlineStr">
        <is>
          <t>Document</t>
        </is>
      </c>
      <c r="D126" s="16" t="inlineStr"/>
      <c r="E126" s="16" t="inlineStr"/>
      <c r="F126" s="16" t="inlineStr"/>
      <c r="G126" s="16" t="inlineStr">
        <is>
          <t>Not Started</t>
        </is>
      </c>
      <c r="H126" s="16" t="inlineStr">
        <is>
          <t>Not Reviewed</t>
        </is>
      </c>
      <c r="I126" s="16" t="inlineStr"/>
      <c r="J126" s="20" t="inlineStr"/>
      <c r="K126" s="20" t="inlineStr"/>
      <c r="L126" s="16" t="inlineStr"/>
      <c r="M126" s="16" t="inlineStr"/>
      <c r="N126" s="16" t="inlineStr">
        <is>
          <t>CUI</t>
        </is>
      </c>
      <c r="O126" s="16" t="inlineStr"/>
      <c r="P126" s="16" t="inlineStr"/>
    </row>
    <row r="127">
      <c r="A127" s="16" t="inlineStr"/>
      <c r="B127" s="16" t="inlineStr"/>
      <c r="C127" s="16" t="inlineStr">
        <is>
          <t>Document</t>
        </is>
      </c>
      <c r="D127" s="16" t="inlineStr"/>
      <c r="E127" s="16" t="inlineStr"/>
      <c r="F127" s="16" t="inlineStr"/>
      <c r="G127" s="16" t="inlineStr">
        <is>
          <t>Not Started</t>
        </is>
      </c>
      <c r="H127" s="16" t="inlineStr">
        <is>
          <t>Not Reviewed</t>
        </is>
      </c>
      <c r="I127" s="16" t="inlineStr"/>
      <c r="J127" s="20" t="inlineStr"/>
      <c r="K127" s="20" t="inlineStr"/>
      <c r="L127" s="16" t="inlineStr"/>
      <c r="M127" s="16" t="inlineStr"/>
      <c r="N127" s="16" t="inlineStr">
        <is>
          <t>CUI</t>
        </is>
      </c>
      <c r="O127" s="16" t="inlineStr"/>
      <c r="P127" s="16" t="inlineStr"/>
    </row>
    <row r="128">
      <c r="A128" s="16" t="inlineStr"/>
      <c r="B128" s="16" t="inlineStr"/>
      <c r="C128" s="16" t="inlineStr">
        <is>
          <t>Document</t>
        </is>
      </c>
      <c r="D128" s="16" t="inlineStr"/>
      <c r="E128" s="16" t="inlineStr"/>
      <c r="F128" s="16" t="inlineStr"/>
      <c r="G128" s="16" t="inlineStr">
        <is>
          <t>Not Started</t>
        </is>
      </c>
      <c r="H128" s="16" t="inlineStr">
        <is>
          <t>Not Reviewed</t>
        </is>
      </c>
      <c r="I128" s="16" t="inlineStr"/>
      <c r="J128" s="20" t="inlineStr"/>
      <c r="K128" s="20" t="inlineStr"/>
      <c r="L128" s="16" t="inlineStr"/>
      <c r="M128" s="16" t="inlineStr"/>
      <c r="N128" s="16" t="inlineStr">
        <is>
          <t>CUI</t>
        </is>
      </c>
      <c r="O128" s="16" t="inlineStr"/>
      <c r="P128" s="16" t="inlineStr"/>
    </row>
    <row r="129">
      <c r="A129" s="16" t="inlineStr"/>
      <c r="B129" s="16" t="inlineStr"/>
      <c r="C129" s="16" t="inlineStr">
        <is>
          <t>Document</t>
        </is>
      </c>
      <c r="D129" s="16" t="inlineStr"/>
      <c r="E129" s="16" t="inlineStr"/>
      <c r="F129" s="16" t="inlineStr"/>
      <c r="G129" s="16" t="inlineStr">
        <is>
          <t>Not Started</t>
        </is>
      </c>
      <c r="H129" s="16" t="inlineStr">
        <is>
          <t>Not Reviewed</t>
        </is>
      </c>
      <c r="I129" s="16" t="inlineStr"/>
      <c r="J129" s="20" t="inlineStr"/>
      <c r="K129" s="20" t="inlineStr"/>
      <c r="L129" s="16" t="inlineStr"/>
      <c r="M129" s="16" t="inlineStr"/>
      <c r="N129" s="16" t="inlineStr">
        <is>
          <t>CUI</t>
        </is>
      </c>
      <c r="O129" s="16" t="inlineStr"/>
      <c r="P129" s="16" t="inlineStr"/>
    </row>
    <row r="130">
      <c r="A130" s="16" t="inlineStr"/>
      <c r="B130" s="16" t="inlineStr"/>
      <c r="C130" s="16" t="inlineStr">
        <is>
          <t>Document</t>
        </is>
      </c>
      <c r="D130" s="16" t="inlineStr"/>
      <c r="E130" s="16" t="inlineStr"/>
      <c r="F130" s="16" t="inlineStr"/>
      <c r="G130" s="16" t="inlineStr">
        <is>
          <t>Not Started</t>
        </is>
      </c>
      <c r="H130" s="16" t="inlineStr">
        <is>
          <t>Not Reviewed</t>
        </is>
      </c>
      <c r="I130" s="16" t="inlineStr"/>
      <c r="J130" s="20" t="inlineStr"/>
      <c r="K130" s="20" t="inlineStr"/>
      <c r="L130" s="16" t="inlineStr"/>
      <c r="M130" s="16" t="inlineStr"/>
      <c r="N130" s="16" t="inlineStr">
        <is>
          <t>CUI</t>
        </is>
      </c>
      <c r="O130" s="16" t="inlineStr"/>
      <c r="P130" s="16" t="inlineStr"/>
    </row>
    <row r="131">
      <c r="A131" s="16" t="inlineStr"/>
      <c r="B131" s="16" t="inlineStr"/>
      <c r="C131" s="16" t="inlineStr">
        <is>
          <t>Document</t>
        </is>
      </c>
      <c r="D131" s="16" t="inlineStr"/>
      <c r="E131" s="16" t="inlineStr"/>
      <c r="F131" s="16" t="inlineStr"/>
      <c r="G131" s="16" t="inlineStr">
        <is>
          <t>Not Started</t>
        </is>
      </c>
      <c r="H131" s="16" t="inlineStr">
        <is>
          <t>Not Reviewed</t>
        </is>
      </c>
      <c r="I131" s="16" t="inlineStr"/>
      <c r="J131" s="20" t="inlineStr"/>
      <c r="K131" s="20" t="inlineStr"/>
      <c r="L131" s="16" t="inlineStr"/>
      <c r="M131" s="16" t="inlineStr"/>
      <c r="N131" s="16" t="inlineStr">
        <is>
          <t>CUI</t>
        </is>
      </c>
      <c r="O131" s="16" t="inlineStr"/>
      <c r="P131" s="16" t="inlineStr"/>
    </row>
    <row r="132">
      <c r="A132" s="16" t="inlineStr"/>
      <c r="B132" s="16" t="inlineStr"/>
      <c r="C132" s="16" t="inlineStr">
        <is>
          <t>Document</t>
        </is>
      </c>
      <c r="D132" s="16" t="inlineStr"/>
      <c r="E132" s="16" t="inlineStr"/>
      <c r="F132" s="16" t="inlineStr"/>
      <c r="G132" s="16" t="inlineStr">
        <is>
          <t>Not Started</t>
        </is>
      </c>
      <c r="H132" s="16" t="inlineStr">
        <is>
          <t>Not Reviewed</t>
        </is>
      </c>
      <c r="I132" s="16" t="inlineStr"/>
      <c r="J132" s="20" t="inlineStr"/>
      <c r="K132" s="20" t="inlineStr"/>
      <c r="L132" s="16" t="inlineStr"/>
      <c r="M132" s="16" t="inlineStr"/>
      <c r="N132" s="16" t="inlineStr">
        <is>
          <t>CUI</t>
        </is>
      </c>
      <c r="O132" s="16" t="inlineStr"/>
      <c r="P132" s="16" t="inlineStr"/>
    </row>
    <row r="133">
      <c r="A133" s="16" t="inlineStr"/>
      <c r="B133" s="16" t="inlineStr"/>
      <c r="C133" s="16" t="inlineStr">
        <is>
          <t>Document</t>
        </is>
      </c>
      <c r="D133" s="16" t="inlineStr"/>
      <c r="E133" s="16" t="inlineStr"/>
      <c r="F133" s="16" t="inlineStr"/>
      <c r="G133" s="16" t="inlineStr">
        <is>
          <t>Not Started</t>
        </is>
      </c>
      <c r="H133" s="16" t="inlineStr">
        <is>
          <t>Not Reviewed</t>
        </is>
      </c>
      <c r="I133" s="16" t="inlineStr"/>
      <c r="J133" s="20" t="inlineStr"/>
      <c r="K133" s="20" t="inlineStr"/>
      <c r="L133" s="16" t="inlineStr"/>
      <c r="M133" s="16" t="inlineStr"/>
      <c r="N133" s="16" t="inlineStr">
        <is>
          <t>CUI</t>
        </is>
      </c>
      <c r="O133" s="16" t="inlineStr"/>
      <c r="P133" s="16" t="inlineStr"/>
    </row>
    <row r="134">
      <c r="A134" s="16" t="inlineStr"/>
      <c r="B134" s="16" t="inlineStr"/>
      <c r="C134" s="16" t="inlineStr">
        <is>
          <t>Document</t>
        </is>
      </c>
      <c r="D134" s="16" t="inlineStr"/>
      <c r="E134" s="16" t="inlineStr"/>
      <c r="F134" s="16" t="inlineStr"/>
      <c r="G134" s="16" t="inlineStr">
        <is>
          <t>Not Started</t>
        </is>
      </c>
      <c r="H134" s="16" t="inlineStr">
        <is>
          <t>Not Reviewed</t>
        </is>
      </c>
      <c r="I134" s="16" t="inlineStr"/>
      <c r="J134" s="20" t="inlineStr"/>
      <c r="K134" s="20" t="inlineStr"/>
      <c r="L134" s="16" t="inlineStr"/>
      <c r="M134" s="16" t="inlineStr"/>
      <c r="N134" s="16" t="inlineStr">
        <is>
          <t>CUI</t>
        </is>
      </c>
      <c r="O134" s="16" t="inlineStr"/>
      <c r="P134" s="16" t="inlineStr"/>
    </row>
    <row r="135">
      <c r="A135" s="16" t="inlineStr"/>
      <c r="B135" s="16" t="inlineStr"/>
      <c r="C135" s="16" t="inlineStr">
        <is>
          <t>Document</t>
        </is>
      </c>
      <c r="D135" s="16" t="inlineStr"/>
      <c r="E135" s="16" t="inlineStr"/>
      <c r="F135" s="16" t="inlineStr"/>
      <c r="G135" s="16" t="inlineStr">
        <is>
          <t>Not Started</t>
        </is>
      </c>
      <c r="H135" s="16" t="inlineStr">
        <is>
          <t>Not Reviewed</t>
        </is>
      </c>
      <c r="I135" s="16" t="inlineStr"/>
      <c r="J135" s="20" t="inlineStr"/>
      <c r="K135" s="20" t="inlineStr"/>
      <c r="L135" s="16" t="inlineStr"/>
      <c r="M135" s="16" t="inlineStr"/>
      <c r="N135" s="16" t="inlineStr">
        <is>
          <t>CUI</t>
        </is>
      </c>
      <c r="O135" s="16" t="inlineStr"/>
      <c r="P135" s="16" t="inlineStr"/>
    </row>
    <row r="136">
      <c r="A136" s="16" t="inlineStr"/>
      <c r="B136" s="16" t="inlineStr"/>
      <c r="C136" s="16" t="inlineStr">
        <is>
          <t>Document</t>
        </is>
      </c>
      <c r="D136" s="16" t="inlineStr"/>
      <c r="E136" s="16" t="inlineStr"/>
      <c r="F136" s="16" t="inlineStr"/>
      <c r="G136" s="16" t="inlineStr">
        <is>
          <t>Not Started</t>
        </is>
      </c>
      <c r="H136" s="16" t="inlineStr">
        <is>
          <t>Not Reviewed</t>
        </is>
      </c>
      <c r="I136" s="16" t="inlineStr"/>
      <c r="J136" s="20" t="inlineStr"/>
      <c r="K136" s="20" t="inlineStr"/>
      <c r="L136" s="16" t="inlineStr"/>
      <c r="M136" s="16" t="inlineStr"/>
      <c r="N136" s="16" t="inlineStr">
        <is>
          <t>CUI</t>
        </is>
      </c>
      <c r="O136" s="16" t="inlineStr"/>
      <c r="P136" s="16" t="inlineStr"/>
    </row>
    <row r="137">
      <c r="A137" s="16" t="inlineStr"/>
      <c r="B137" s="16" t="inlineStr"/>
      <c r="C137" s="16" t="inlineStr">
        <is>
          <t>Document</t>
        </is>
      </c>
      <c r="D137" s="16" t="inlineStr"/>
      <c r="E137" s="16" t="inlineStr"/>
      <c r="F137" s="16" t="inlineStr"/>
      <c r="G137" s="16" t="inlineStr">
        <is>
          <t>Not Started</t>
        </is>
      </c>
      <c r="H137" s="16" t="inlineStr">
        <is>
          <t>Not Reviewed</t>
        </is>
      </c>
      <c r="I137" s="16" t="inlineStr"/>
      <c r="J137" s="20" t="inlineStr"/>
      <c r="K137" s="20" t="inlineStr"/>
      <c r="L137" s="16" t="inlineStr"/>
      <c r="M137" s="16" t="inlineStr"/>
      <c r="N137" s="16" t="inlineStr">
        <is>
          <t>CUI</t>
        </is>
      </c>
      <c r="O137" s="16" t="inlineStr"/>
      <c r="P137" s="16" t="inlineStr"/>
    </row>
    <row r="138">
      <c r="A138" s="16" t="inlineStr"/>
      <c r="B138" s="16" t="inlineStr"/>
      <c r="C138" s="16" t="inlineStr">
        <is>
          <t>Document</t>
        </is>
      </c>
      <c r="D138" s="16" t="inlineStr"/>
      <c r="E138" s="16" t="inlineStr"/>
      <c r="F138" s="16" t="inlineStr"/>
      <c r="G138" s="16" t="inlineStr">
        <is>
          <t>Not Started</t>
        </is>
      </c>
      <c r="H138" s="16" t="inlineStr">
        <is>
          <t>Not Reviewed</t>
        </is>
      </c>
      <c r="I138" s="16" t="inlineStr"/>
      <c r="J138" s="20" t="inlineStr"/>
      <c r="K138" s="20" t="inlineStr"/>
      <c r="L138" s="16" t="inlineStr"/>
      <c r="M138" s="16" t="inlineStr"/>
      <c r="N138" s="16" t="inlineStr">
        <is>
          <t>CUI</t>
        </is>
      </c>
      <c r="O138" s="16" t="inlineStr"/>
      <c r="P138" s="16" t="inlineStr"/>
    </row>
    <row r="139">
      <c r="A139" s="16" t="inlineStr"/>
      <c r="B139" s="16" t="inlineStr"/>
      <c r="C139" s="16" t="inlineStr">
        <is>
          <t>Document</t>
        </is>
      </c>
      <c r="D139" s="16" t="inlineStr"/>
      <c r="E139" s="16" t="inlineStr"/>
      <c r="F139" s="16" t="inlineStr"/>
      <c r="G139" s="16" t="inlineStr">
        <is>
          <t>Not Started</t>
        </is>
      </c>
      <c r="H139" s="16" t="inlineStr">
        <is>
          <t>Not Reviewed</t>
        </is>
      </c>
      <c r="I139" s="16" t="inlineStr"/>
      <c r="J139" s="20" t="inlineStr"/>
      <c r="K139" s="20" t="inlineStr"/>
      <c r="L139" s="16" t="inlineStr"/>
      <c r="M139" s="16" t="inlineStr"/>
      <c r="N139" s="16" t="inlineStr">
        <is>
          <t>CUI</t>
        </is>
      </c>
      <c r="O139" s="16" t="inlineStr"/>
      <c r="P139" s="16" t="inlineStr"/>
    </row>
    <row r="140">
      <c r="A140" s="16" t="inlineStr"/>
      <c r="B140" s="16" t="inlineStr"/>
      <c r="C140" s="16" t="inlineStr">
        <is>
          <t>Document</t>
        </is>
      </c>
      <c r="D140" s="16" t="inlineStr"/>
      <c r="E140" s="16" t="inlineStr"/>
      <c r="F140" s="16" t="inlineStr"/>
      <c r="G140" s="16" t="inlineStr">
        <is>
          <t>Not Started</t>
        </is>
      </c>
      <c r="H140" s="16" t="inlineStr">
        <is>
          <t>Not Reviewed</t>
        </is>
      </c>
      <c r="I140" s="16" t="inlineStr"/>
      <c r="J140" s="20" t="inlineStr"/>
      <c r="K140" s="20" t="inlineStr"/>
      <c r="L140" s="16" t="inlineStr"/>
      <c r="M140" s="16" t="inlineStr"/>
      <c r="N140" s="16" t="inlineStr">
        <is>
          <t>CUI</t>
        </is>
      </c>
      <c r="O140" s="16" t="inlineStr"/>
      <c r="P140" s="16" t="inlineStr"/>
    </row>
    <row r="141">
      <c r="A141" s="16" t="inlineStr"/>
      <c r="B141" s="16" t="inlineStr"/>
      <c r="C141" s="16" t="inlineStr">
        <is>
          <t>Document</t>
        </is>
      </c>
      <c r="D141" s="16" t="inlineStr"/>
      <c r="E141" s="16" t="inlineStr"/>
      <c r="F141" s="16" t="inlineStr"/>
      <c r="G141" s="16" t="inlineStr">
        <is>
          <t>Not Started</t>
        </is>
      </c>
      <c r="H141" s="16" t="inlineStr">
        <is>
          <t>Not Reviewed</t>
        </is>
      </c>
      <c r="I141" s="16" t="inlineStr"/>
      <c r="J141" s="20" t="inlineStr"/>
      <c r="K141" s="20" t="inlineStr"/>
      <c r="L141" s="16" t="inlineStr"/>
      <c r="M141" s="16" t="inlineStr"/>
      <c r="N141" s="16" t="inlineStr">
        <is>
          <t>CUI</t>
        </is>
      </c>
      <c r="O141" s="16" t="inlineStr"/>
      <c r="P141" s="16" t="inlineStr"/>
    </row>
    <row r="142">
      <c r="A142" s="16" t="inlineStr"/>
      <c r="B142" s="16" t="inlineStr"/>
      <c r="C142" s="16" t="inlineStr">
        <is>
          <t>Document</t>
        </is>
      </c>
      <c r="D142" s="16" t="inlineStr"/>
      <c r="E142" s="16" t="inlineStr"/>
      <c r="F142" s="16" t="inlineStr"/>
      <c r="G142" s="16" t="inlineStr">
        <is>
          <t>Not Started</t>
        </is>
      </c>
      <c r="H142" s="16" t="inlineStr">
        <is>
          <t>Not Reviewed</t>
        </is>
      </c>
      <c r="I142" s="16" t="inlineStr"/>
      <c r="J142" s="20" t="inlineStr"/>
      <c r="K142" s="20" t="inlineStr"/>
      <c r="L142" s="16" t="inlineStr"/>
      <c r="M142" s="16" t="inlineStr"/>
      <c r="N142" s="16" t="inlineStr">
        <is>
          <t>CUI</t>
        </is>
      </c>
      <c r="O142" s="16" t="inlineStr"/>
      <c r="P142" s="16" t="inlineStr"/>
    </row>
    <row r="143">
      <c r="A143" s="16" t="inlineStr"/>
      <c r="B143" s="16" t="inlineStr"/>
      <c r="C143" s="16" t="inlineStr">
        <is>
          <t>Document</t>
        </is>
      </c>
      <c r="D143" s="16" t="inlineStr"/>
      <c r="E143" s="16" t="inlineStr"/>
      <c r="F143" s="16" t="inlineStr"/>
      <c r="G143" s="16" t="inlineStr">
        <is>
          <t>Not Started</t>
        </is>
      </c>
      <c r="H143" s="16" t="inlineStr">
        <is>
          <t>Not Reviewed</t>
        </is>
      </c>
      <c r="I143" s="16" t="inlineStr"/>
      <c r="J143" s="20" t="inlineStr"/>
      <c r="K143" s="20" t="inlineStr"/>
      <c r="L143" s="16" t="inlineStr"/>
      <c r="M143" s="16" t="inlineStr"/>
      <c r="N143" s="16" t="inlineStr">
        <is>
          <t>CUI</t>
        </is>
      </c>
      <c r="O143" s="16" t="inlineStr"/>
      <c r="P143" s="16" t="inlineStr"/>
    </row>
    <row r="144">
      <c r="A144" s="16" t="inlineStr"/>
      <c r="B144" s="16" t="inlineStr"/>
      <c r="C144" s="16" t="inlineStr">
        <is>
          <t>Document</t>
        </is>
      </c>
      <c r="D144" s="16" t="inlineStr"/>
      <c r="E144" s="16" t="inlineStr"/>
      <c r="F144" s="16" t="inlineStr"/>
      <c r="G144" s="16" t="inlineStr">
        <is>
          <t>Not Started</t>
        </is>
      </c>
      <c r="H144" s="16" t="inlineStr">
        <is>
          <t>Not Reviewed</t>
        </is>
      </c>
      <c r="I144" s="16" t="inlineStr"/>
      <c r="J144" s="20" t="inlineStr"/>
      <c r="K144" s="20" t="inlineStr"/>
      <c r="L144" s="16" t="inlineStr"/>
      <c r="M144" s="16" t="inlineStr"/>
      <c r="N144" s="16" t="inlineStr">
        <is>
          <t>CUI</t>
        </is>
      </c>
      <c r="O144" s="16" t="inlineStr"/>
      <c r="P144" s="16" t="inlineStr"/>
    </row>
    <row r="145">
      <c r="A145" s="16" t="inlineStr"/>
      <c r="B145" s="16" t="inlineStr"/>
      <c r="C145" s="16" t="inlineStr">
        <is>
          <t>Document</t>
        </is>
      </c>
      <c r="D145" s="16" t="inlineStr"/>
      <c r="E145" s="16" t="inlineStr"/>
      <c r="F145" s="16" t="inlineStr"/>
      <c r="G145" s="16" t="inlineStr">
        <is>
          <t>Not Started</t>
        </is>
      </c>
      <c r="H145" s="16" t="inlineStr">
        <is>
          <t>Not Reviewed</t>
        </is>
      </c>
      <c r="I145" s="16" t="inlineStr"/>
      <c r="J145" s="20" t="inlineStr"/>
      <c r="K145" s="20" t="inlineStr"/>
      <c r="L145" s="16" t="inlineStr"/>
      <c r="M145" s="16" t="inlineStr"/>
      <c r="N145" s="16" t="inlineStr">
        <is>
          <t>CUI</t>
        </is>
      </c>
      <c r="O145" s="16" t="inlineStr"/>
      <c r="P145" s="16" t="inlineStr"/>
    </row>
    <row r="146">
      <c r="A146" s="16" t="inlineStr"/>
      <c r="B146" s="16" t="inlineStr"/>
      <c r="C146" s="16" t="inlineStr">
        <is>
          <t>Document</t>
        </is>
      </c>
      <c r="D146" s="16" t="inlineStr"/>
      <c r="E146" s="16" t="inlineStr"/>
      <c r="F146" s="16" t="inlineStr"/>
      <c r="G146" s="16" t="inlineStr">
        <is>
          <t>Not Started</t>
        </is>
      </c>
      <c r="H146" s="16" t="inlineStr">
        <is>
          <t>Not Reviewed</t>
        </is>
      </c>
      <c r="I146" s="16" t="inlineStr"/>
      <c r="J146" s="20" t="inlineStr"/>
      <c r="K146" s="20" t="inlineStr"/>
      <c r="L146" s="16" t="inlineStr"/>
      <c r="M146" s="16" t="inlineStr"/>
      <c r="N146" s="16" t="inlineStr">
        <is>
          <t>CUI</t>
        </is>
      </c>
      <c r="O146" s="16" t="inlineStr"/>
      <c r="P146" s="16" t="inlineStr"/>
    </row>
    <row r="147">
      <c r="A147" s="16" t="inlineStr"/>
      <c r="B147" s="16" t="inlineStr"/>
      <c r="C147" s="16" t="inlineStr">
        <is>
          <t>Document</t>
        </is>
      </c>
      <c r="D147" s="16" t="inlineStr"/>
      <c r="E147" s="16" t="inlineStr"/>
      <c r="F147" s="16" t="inlineStr"/>
      <c r="G147" s="16" t="inlineStr">
        <is>
          <t>Not Started</t>
        </is>
      </c>
      <c r="H147" s="16" t="inlineStr">
        <is>
          <t>Not Reviewed</t>
        </is>
      </c>
      <c r="I147" s="16" t="inlineStr"/>
      <c r="J147" s="20" t="inlineStr"/>
      <c r="K147" s="20" t="inlineStr"/>
      <c r="L147" s="16" t="inlineStr"/>
      <c r="M147" s="16" t="inlineStr"/>
      <c r="N147" s="16" t="inlineStr">
        <is>
          <t>CUI</t>
        </is>
      </c>
      <c r="O147" s="16" t="inlineStr"/>
      <c r="P147" s="16" t="inlineStr"/>
    </row>
    <row r="148">
      <c r="A148" s="16" t="inlineStr"/>
      <c r="B148" s="16" t="inlineStr"/>
      <c r="C148" s="16" t="inlineStr">
        <is>
          <t>Document</t>
        </is>
      </c>
      <c r="D148" s="16" t="inlineStr"/>
      <c r="E148" s="16" t="inlineStr"/>
      <c r="F148" s="16" t="inlineStr"/>
      <c r="G148" s="16" t="inlineStr">
        <is>
          <t>Not Started</t>
        </is>
      </c>
      <c r="H148" s="16" t="inlineStr">
        <is>
          <t>Not Reviewed</t>
        </is>
      </c>
      <c r="I148" s="16" t="inlineStr"/>
      <c r="J148" s="20" t="inlineStr"/>
      <c r="K148" s="20" t="inlineStr"/>
      <c r="L148" s="16" t="inlineStr"/>
      <c r="M148" s="16" t="inlineStr"/>
      <c r="N148" s="16" t="inlineStr">
        <is>
          <t>CUI</t>
        </is>
      </c>
      <c r="O148" s="16" t="inlineStr"/>
      <c r="P148" s="16" t="inlineStr"/>
    </row>
    <row r="149">
      <c r="A149" s="16" t="inlineStr"/>
      <c r="B149" s="16" t="inlineStr"/>
      <c r="C149" s="16" t="inlineStr">
        <is>
          <t>Document</t>
        </is>
      </c>
      <c r="D149" s="16" t="inlineStr"/>
      <c r="E149" s="16" t="inlineStr"/>
      <c r="F149" s="16" t="inlineStr"/>
      <c r="G149" s="16" t="inlineStr">
        <is>
          <t>Not Started</t>
        </is>
      </c>
      <c r="H149" s="16" t="inlineStr">
        <is>
          <t>Not Reviewed</t>
        </is>
      </c>
      <c r="I149" s="16" t="inlineStr"/>
      <c r="J149" s="20" t="inlineStr"/>
      <c r="K149" s="20" t="inlineStr"/>
      <c r="L149" s="16" t="inlineStr"/>
      <c r="M149" s="16" t="inlineStr"/>
      <c r="N149" s="16" t="inlineStr">
        <is>
          <t>CUI</t>
        </is>
      </c>
      <c r="O149" s="16" t="inlineStr"/>
      <c r="P149" s="16" t="inlineStr"/>
    </row>
    <row r="150">
      <c r="A150" s="16" t="inlineStr"/>
      <c r="B150" s="16" t="inlineStr"/>
      <c r="C150" s="16" t="inlineStr">
        <is>
          <t>Document</t>
        </is>
      </c>
      <c r="D150" s="16" t="inlineStr"/>
      <c r="E150" s="16" t="inlineStr"/>
      <c r="F150" s="16" t="inlineStr"/>
      <c r="G150" s="16" t="inlineStr">
        <is>
          <t>Not Started</t>
        </is>
      </c>
      <c r="H150" s="16" t="inlineStr">
        <is>
          <t>Not Reviewed</t>
        </is>
      </c>
      <c r="I150" s="16" t="inlineStr"/>
      <c r="J150" s="20" t="inlineStr"/>
      <c r="K150" s="20" t="inlineStr"/>
      <c r="L150" s="16" t="inlineStr"/>
      <c r="M150" s="16" t="inlineStr"/>
      <c r="N150" s="16" t="inlineStr">
        <is>
          <t>CUI</t>
        </is>
      </c>
      <c r="O150" s="16" t="inlineStr"/>
      <c r="P150" s="16" t="inlineStr"/>
    </row>
    <row r="151">
      <c r="A151" s="16" t="inlineStr"/>
      <c r="B151" s="16" t="inlineStr"/>
      <c r="C151" s="16" t="inlineStr">
        <is>
          <t>Document</t>
        </is>
      </c>
      <c r="D151" s="16" t="inlineStr"/>
      <c r="E151" s="16" t="inlineStr"/>
      <c r="F151" s="16" t="inlineStr"/>
      <c r="G151" s="16" t="inlineStr">
        <is>
          <t>Not Started</t>
        </is>
      </c>
      <c r="H151" s="16" t="inlineStr">
        <is>
          <t>Not Reviewed</t>
        </is>
      </c>
      <c r="I151" s="16" t="inlineStr"/>
      <c r="J151" s="20" t="inlineStr"/>
      <c r="K151" s="20" t="inlineStr"/>
      <c r="L151" s="16" t="inlineStr"/>
      <c r="M151" s="16" t="inlineStr"/>
      <c r="N151" s="16" t="inlineStr">
        <is>
          <t>CUI</t>
        </is>
      </c>
      <c r="O151" s="16" t="inlineStr"/>
      <c r="P151" s="16" t="inlineStr"/>
    </row>
    <row r="152">
      <c r="A152" s="16" t="inlineStr"/>
      <c r="B152" s="16" t="inlineStr"/>
      <c r="C152" s="16" t="inlineStr">
        <is>
          <t>Document</t>
        </is>
      </c>
      <c r="D152" s="16" t="inlineStr"/>
      <c r="E152" s="16" t="inlineStr"/>
      <c r="F152" s="16" t="inlineStr"/>
      <c r="G152" s="16" t="inlineStr">
        <is>
          <t>Not Started</t>
        </is>
      </c>
      <c r="H152" s="16" t="inlineStr">
        <is>
          <t>Not Reviewed</t>
        </is>
      </c>
      <c r="I152" s="16" t="inlineStr"/>
      <c r="J152" s="20" t="inlineStr"/>
      <c r="K152" s="20" t="inlineStr"/>
      <c r="L152" s="16" t="inlineStr"/>
      <c r="M152" s="16" t="inlineStr"/>
      <c r="N152" s="16" t="inlineStr">
        <is>
          <t>CUI</t>
        </is>
      </c>
      <c r="O152" s="16" t="inlineStr"/>
      <c r="P152" s="16" t="inlineStr"/>
    </row>
    <row r="153">
      <c r="A153" s="16" t="inlineStr"/>
      <c r="B153" s="16" t="inlineStr"/>
      <c r="C153" s="16" t="inlineStr">
        <is>
          <t>Document</t>
        </is>
      </c>
      <c r="D153" s="16" t="inlineStr"/>
      <c r="E153" s="16" t="inlineStr"/>
      <c r="F153" s="16" t="inlineStr"/>
      <c r="G153" s="16" t="inlineStr">
        <is>
          <t>Not Started</t>
        </is>
      </c>
      <c r="H153" s="16" t="inlineStr">
        <is>
          <t>Not Reviewed</t>
        </is>
      </c>
      <c r="I153" s="16" t="inlineStr"/>
      <c r="J153" s="20" t="inlineStr"/>
      <c r="K153" s="20" t="inlineStr"/>
      <c r="L153" s="16" t="inlineStr"/>
      <c r="M153" s="16" t="inlineStr"/>
      <c r="N153" s="16" t="inlineStr">
        <is>
          <t>CUI</t>
        </is>
      </c>
      <c r="O153" s="16" t="inlineStr"/>
      <c r="P153" s="16" t="inlineStr"/>
    </row>
    <row r="154">
      <c r="A154" s="16" t="inlineStr"/>
      <c r="B154" s="16" t="inlineStr"/>
      <c r="C154" s="16" t="inlineStr">
        <is>
          <t>Document</t>
        </is>
      </c>
      <c r="D154" s="16" t="inlineStr"/>
      <c r="E154" s="16" t="inlineStr"/>
      <c r="F154" s="16" t="inlineStr"/>
      <c r="G154" s="16" t="inlineStr">
        <is>
          <t>Not Started</t>
        </is>
      </c>
      <c r="H154" s="16" t="inlineStr">
        <is>
          <t>Not Reviewed</t>
        </is>
      </c>
      <c r="I154" s="16" t="inlineStr"/>
      <c r="J154" s="20" t="inlineStr"/>
      <c r="K154" s="20" t="inlineStr"/>
      <c r="L154" s="16" t="inlineStr"/>
      <c r="M154" s="16" t="inlineStr"/>
      <c r="N154" s="16" t="inlineStr">
        <is>
          <t>CUI</t>
        </is>
      </c>
      <c r="O154" s="16" t="inlineStr"/>
      <c r="P154" s="16" t="inlineStr"/>
    </row>
    <row r="155">
      <c r="A155" s="16" t="inlineStr"/>
      <c r="B155" s="16" t="inlineStr"/>
      <c r="C155" s="16" t="inlineStr">
        <is>
          <t>Document</t>
        </is>
      </c>
      <c r="D155" s="16" t="inlineStr"/>
      <c r="E155" s="16" t="inlineStr"/>
      <c r="F155" s="16" t="inlineStr"/>
      <c r="G155" s="16" t="inlineStr">
        <is>
          <t>Not Started</t>
        </is>
      </c>
      <c r="H155" s="16" t="inlineStr">
        <is>
          <t>Not Reviewed</t>
        </is>
      </c>
      <c r="I155" s="16" t="inlineStr"/>
      <c r="J155" s="20" t="inlineStr"/>
      <c r="K155" s="20" t="inlineStr"/>
      <c r="L155" s="16" t="inlineStr"/>
      <c r="M155" s="16" t="inlineStr"/>
      <c r="N155" s="16" t="inlineStr">
        <is>
          <t>CUI</t>
        </is>
      </c>
      <c r="O155" s="16" t="inlineStr"/>
      <c r="P155" s="16" t="inlineStr"/>
    </row>
    <row r="156">
      <c r="A156" s="16" t="inlineStr"/>
      <c r="B156" s="16" t="inlineStr"/>
      <c r="C156" s="16" t="inlineStr">
        <is>
          <t>Document</t>
        </is>
      </c>
      <c r="D156" s="16" t="inlineStr"/>
      <c r="E156" s="16" t="inlineStr"/>
      <c r="F156" s="16" t="inlineStr"/>
      <c r="G156" s="16" t="inlineStr">
        <is>
          <t>Not Started</t>
        </is>
      </c>
      <c r="H156" s="16" t="inlineStr">
        <is>
          <t>Not Reviewed</t>
        </is>
      </c>
      <c r="I156" s="16" t="inlineStr"/>
      <c r="J156" s="20" t="inlineStr"/>
      <c r="K156" s="20" t="inlineStr"/>
      <c r="L156" s="16" t="inlineStr"/>
      <c r="M156" s="16" t="inlineStr"/>
      <c r="N156" s="16" t="inlineStr">
        <is>
          <t>CUI</t>
        </is>
      </c>
      <c r="O156" s="16" t="inlineStr"/>
      <c r="P156" s="16" t="inlineStr"/>
    </row>
    <row r="157">
      <c r="A157" s="16" t="inlineStr"/>
      <c r="B157" s="16" t="inlineStr"/>
      <c r="C157" s="16" t="inlineStr">
        <is>
          <t>Document</t>
        </is>
      </c>
      <c r="D157" s="16" t="inlineStr"/>
      <c r="E157" s="16" t="inlineStr"/>
      <c r="F157" s="16" t="inlineStr"/>
      <c r="G157" s="16" t="inlineStr">
        <is>
          <t>Not Started</t>
        </is>
      </c>
      <c r="H157" s="16" t="inlineStr">
        <is>
          <t>Not Reviewed</t>
        </is>
      </c>
      <c r="I157" s="16" t="inlineStr"/>
      <c r="J157" s="20" t="inlineStr"/>
      <c r="K157" s="20" t="inlineStr"/>
      <c r="L157" s="16" t="inlineStr"/>
      <c r="M157" s="16" t="inlineStr"/>
      <c r="N157" s="16" t="inlineStr">
        <is>
          <t>CUI</t>
        </is>
      </c>
      <c r="O157" s="16" t="inlineStr"/>
      <c r="P157" s="16" t="inlineStr"/>
    </row>
    <row r="158">
      <c r="A158" s="16" t="inlineStr"/>
      <c r="B158" s="16" t="inlineStr"/>
      <c r="C158" s="16" t="inlineStr">
        <is>
          <t>Document</t>
        </is>
      </c>
      <c r="D158" s="16" t="inlineStr"/>
      <c r="E158" s="16" t="inlineStr"/>
      <c r="F158" s="16" t="inlineStr"/>
      <c r="G158" s="16" t="inlineStr">
        <is>
          <t>Not Started</t>
        </is>
      </c>
      <c r="H158" s="16" t="inlineStr">
        <is>
          <t>Not Reviewed</t>
        </is>
      </c>
      <c r="I158" s="16" t="inlineStr"/>
      <c r="J158" s="20" t="inlineStr"/>
      <c r="K158" s="20" t="inlineStr"/>
      <c r="L158" s="16" t="inlineStr"/>
      <c r="M158" s="16" t="inlineStr"/>
      <c r="N158" s="16" t="inlineStr">
        <is>
          <t>CUI</t>
        </is>
      </c>
      <c r="O158" s="16" t="inlineStr"/>
      <c r="P158" s="16" t="inlineStr"/>
    </row>
    <row r="159">
      <c r="A159" s="16" t="inlineStr"/>
      <c r="B159" s="16" t="inlineStr"/>
      <c r="C159" s="16" t="inlineStr">
        <is>
          <t>Document</t>
        </is>
      </c>
      <c r="D159" s="16" t="inlineStr"/>
      <c r="E159" s="16" t="inlineStr"/>
      <c r="F159" s="16" t="inlineStr"/>
      <c r="G159" s="16" t="inlineStr">
        <is>
          <t>Not Started</t>
        </is>
      </c>
      <c r="H159" s="16" t="inlineStr">
        <is>
          <t>Not Reviewed</t>
        </is>
      </c>
      <c r="I159" s="16" t="inlineStr"/>
      <c r="J159" s="20" t="inlineStr"/>
      <c r="K159" s="20" t="inlineStr"/>
      <c r="L159" s="16" t="inlineStr"/>
      <c r="M159" s="16" t="inlineStr"/>
      <c r="N159" s="16" t="inlineStr">
        <is>
          <t>CUI</t>
        </is>
      </c>
      <c r="O159" s="16" t="inlineStr"/>
      <c r="P159" s="16" t="inlineStr"/>
    </row>
    <row r="160">
      <c r="A160" s="16" t="inlineStr"/>
      <c r="B160" s="16" t="inlineStr"/>
      <c r="C160" s="16" t="inlineStr">
        <is>
          <t>Document</t>
        </is>
      </c>
      <c r="D160" s="16" t="inlineStr"/>
      <c r="E160" s="16" t="inlineStr"/>
      <c r="F160" s="16" t="inlineStr"/>
      <c r="G160" s="16" t="inlineStr">
        <is>
          <t>Not Started</t>
        </is>
      </c>
      <c r="H160" s="16" t="inlineStr">
        <is>
          <t>Not Reviewed</t>
        </is>
      </c>
      <c r="I160" s="16" t="inlineStr"/>
      <c r="J160" s="20" t="inlineStr"/>
      <c r="K160" s="20" t="inlineStr"/>
      <c r="L160" s="16" t="inlineStr"/>
      <c r="M160" s="16" t="inlineStr"/>
      <c r="N160" s="16" t="inlineStr">
        <is>
          <t>CUI</t>
        </is>
      </c>
      <c r="O160" s="16" t="inlineStr"/>
      <c r="P160" s="16" t="inlineStr"/>
    </row>
    <row r="161">
      <c r="A161" s="16" t="inlineStr"/>
      <c r="B161" s="16" t="inlineStr"/>
      <c r="C161" s="16" t="inlineStr">
        <is>
          <t>Document</t>
        </is>
      </c>
      <c r="D161" s="16" t="inlineStr"/>
      <c r="E161" s="16" t="inlineStr"/>
      <c r="F161" s="16" t="inlineStr"/>
      <c r="G161" s="16" t="inlineStr">
        <is>
          <t>Not Started</t>
        </is>
      </c>
      <c r="H161" s="16" t="inlineStr">
        <is>
          <t>Not Reviewed</t>
        </is>
      </c>
      <c r="I161" s="16" t="inlineStr"/>
      <c r="J161" s="20" t="inlineStr"/>
      <c r="K161" s="20" t="inlineStr"/>
      <c r="L161" s="16" t="inlineStr"/>
      <c r="M161" s="16" t="inlineStr"/>
      <c r="N161" s="16" t="inlineStr">
        <is>
          <t>CUI</t>
        </is>
      </c>
      <c r="O161" s="16" t="inlineStr"/>
      <c r="P161" s="16" t="inlineStr"/>
    </row>
    <row r="162">
      <c r="A162" s="16" t="inlineStr"/>
      <c r="B162" s="16" t="inlineStr"/>
      <c r="C162" s="16" t="inlineStr">
        <is>
          <t>Document</t>
        </is>
      </c>
      <c r="D162" s="16" t="inlineStr"/>
      <c r="E162" s="16" t="inlineStr"/>
      <c r="F162" s="16" t="inlineStr"/>
      <c r="G162" s="16" t="inlineStr">
        <is>
          <t>Not Started</t>
        </is>
      </c>
      <c r="H162" s="16" t="inlineStr">
        <is>
          <t>Not Reviewed</t>
        </is>
      </c>
      <c r="I162" s="16" t="inlineStr"/>
      <c r="J162" s="20" t="inlineStr"/>
      <c r="K162" s="20" t="inlineStr"/>
      <c r="L162" s="16" t="inlineStr"/>
      <c r="M162" s="16" t="inlineStr"/>
      <c r="N162" s="16" t="inlineStr">
        <is>
          <t>CUI</t>
        </is>
      </c>
      <c r="O162" s="16" t="inlineStr"/>
      <c r="P162" s="16" t="inlineStr"/>
    </row>
    <row r="163">
      <c r="A163" s="16" t="inlineStr"/>
      <c r="B163" s="16" t="inlineStr"/>
      <c r="C163" s="16" t="inlineStr">
        <is>
          <t>Document</t>
        </is>
      </c>
      <c r="D163" s="16" t="inlineStr"/>
      <c r="E163" s="16" t="inlineStr"/>
      <c r="F163" s="16" t="inlineStr"/>
      <c r="G163" s="16" t="inlineStr">
        <is>
          <t>Not Started</t>
        </is>
      </c>
      <c r="H163" s="16" t="inlineStr">
        <is>
          <t>Not Reviewed</t>
        </is>
      </c>
      <c r="I163" s="16" t="inlineStr"/>
      <c r="J163" s="20" t="inlineStr"/>
      <c r="K163" s="20" t="inlineStr"/>
      <c r="L163" s="16" t="inlineStr"/>
      <c r="M163" s="16" t="inlineStr"/>
      <c r="N163" s="16" t="inlineStr">
        <is>
          <t>CUI</t>
        </is>
      </c>
      <c r="O163" s="16" t="inlineStr"/>
      <c r="P163" s="16" t="inlineStr"/>
    </row>
    <row r="164">
      <c r="A164" s="16" t="inlineStr"/>
      <c r="B164" s="16" t="inlineStr"/>
      <c r="C164" s="16" t="inlineStr">
        <is>
          <t>Document</t>
        </is>
      </c>
      <c r="D164" s="16" t="inlineStr"/>
      <c r="E164" s="16" t="inlineStr"/>
      <c r="F164" s="16" t="inlineStr"/>
      <c r="G164" s="16" t="inlineStr">
        <is>
          <t>Not Started</t>
        </is>
      </c>
      <c r="H164" s="16" t="inlineStr">
        <is>
          <t>Not Reviewed</t>
        </is>
      </c>
      <c r="I164" s="16" t="inlineStr"/>
      <c r="J164" s="20" t="inlineStr"/>
      <c r="K164" s="20" t="inlineStr"/>
      <c r="L164" s="16" t="inlineStr"/>
      <c r="M164" s="16" t="inlineStr"/>
      <c r="N164" s="16" t="inlineStr">
        <is>
          <t>CUI</t>
        </is>
      </c>
      <c r="O164" s="16" t="inlineStr"/>
      <c r="P164" s="16" t="inlineStr"/>
    </row>
    <row r="165">
      <c r="A165" s="16" t="inlineStr"/>
      <c r="B165" s="16" t="inlineStr"/>
      <c r="C165" s="16" t="inlineStr">
        <is>
          <t>Document</t>
        </is>
      </c>
      <c r="D165" s="16" t="inlineStr"/>
      <c r="E165" s="16" t="inlineStr"/>
      <c r="F165" s="16" t="inlineStr"/>
      <c r="G165" s="16" t="inlineStr">
        <is>
          <t>Not Started</t>
        </is>
      </c>
      <c r="H165" s="16" t="inlineStr">
        <is>
          <t>Not Reviewed</t>
        </is>
      </c>
      <c r="I165" s="16" t="inlineStr"/>
      <c r="J165" s="20" t="inlineStr"/>
      <c r="K165" s="20" t="inlineStr"/>
      <c r="L165" s="16" t="inlineStr"/>
      <c r="M165" s="16" t="inlineStr"/>
      <c r="N165" s="16" t="inlineStr">
        <is>
          <t>CUI</t>
        </is>
      </c>
      <c r="O165" s="16" t="inlineStr"/>
      <c r="P165" s="16" t="inlineStr"/>
    </row>
    <row r="166">
      <c r="A166" s="16" t="inlineStr"/>
      <c r="B166" s="16" t="inlineStr"/>
      <c r="C166" s="16" t="inlineStr">
        <is>
          <t>Document</t>
        </is>
      </c>
      <c r="D166" s="16" t="inlineStr"/>
      <c r="E166" s="16" t="inlineStr"/>
      <c r="F166" s="16" t="inlineStr"/>
      <c r="G166" s="16" t="inlineStr">
        <is>
          <t>Not Started</t>
        </is>
      </c>
      <c r="H166" s="16" t="inlineStr">
        <is>
          <t>Not Reviewed</t>
        </is>
      </c>
      <c r="I166" s="16" t="inlineStr"/>
      <c r="J166" s="20" t="inlineStr"/>
      <c r="K166" s="20" t="inlineStr"/>
      <c r="L166" s="16" t="inlineStr"/>
      <c r="M166" s="16" t="inlineStr"/>
      <c r="N166" s="16" t="inlineStr">
        <is>
          <t>CUI</t>
        </is>
      </c>
      <c r="O166" s="16" t="inlineStr"/>
      <c r="P166" s="16" t="inlineStr"/>
    </row>
    <row r="167">
      <c r="A167" s="16" t="inlineStr"/>
      <c r="B167" s="16" t="inlineStr"/>
      <c r="C167" s="16" t="inlineStr">
        <is>
          <t>Document</t>
        </is>
      </c>
      <c r="D167" s="16" t="inlineStr"/>
      <c r="E167" s="16" t="inlineStr"/>
      <c r="F167" s="16" t="inlineStr"/>
      <c r="G167" s="16" t="inlineStr">
        <is>
          <t>Not Started</t>
        </is>
      </c>
      <c r="H167" s="16" t="inlineStr">
        <is>
          <t>Not Reviewed</t>
        </is>
      </c>
      <c r="I167" s="16" t="inlineStr"/>
      <c r="J167" s="20" t="inlineStr"/>
      <c r="K167" s="20" t="inlineStr"/>
      <c r="L167" s="16" t="inlineStr"/>
      <c r="M167" s="16" t="inlineStr"/>
      <c r="N167" s="16" t="inlineStr">
        <is>
          <t>CUI</t>
        </is>
      </c>
      <c r="O167" s="16" t="inlineStr"/>
      <c r="P167" s="16" t="inlineStr"/>
    </row>
    <row r="168">
      <c r="A168" s="16" t="inlineStr"/>
      <c r="B168" s="16" t="inlineStr"/>
      <c r="C168" s="16" t="inlineStr">
        <is>
          <t>Document</t>
        </is>
      </c>
      <c r="D168" s="16" t="inlineStr"/>
      <c r="E168" s="16" t="inlineStr"/>
      <c r="F168" s="16" t="inlineStr"/>
      <c r="G168" s="16" t="inlineStr">
        <is>
          <t>Not Started</t>
        </is>
      </c>
      <c r="H168" s="16" t="inlineStr">
        <is>
          <t>Not Reviewed</t>
        </is>
      </c>
      <c r="I168" s="16" t="inlineStr"/>
      <c r="J168" s="20" t="inlineStr"/>
      <c r="K168" s="20" t="inlineStr"/>
      <c r="L168" s="16" t="inlineStr"/>
      <c r="M168" s="16" t="inlineStr"/>
      <c r="N168" s="16" t="inlineStr">
        <is>
          <t>CUI</t>
        </is>
      </c>
      <c r="O168" s="16" t="inlineStr"/>
      <c r="P168" s="16" t="inlineStr"/>
    </row>
    <row r="169">
      <c r="A169" s="16" t="inlineStr"/>
      <c r="B169" s="16" t="inlineStr"/>
      <c r="C169" s="16" t="inlineStr">
        <is>
          <t>Document</t>
        </is>
      </c>
      <c r="D169" s="16" t="inlineStr"/>
      <c r="E169" s="16" t="inlineStr"/>
      <c r="F169" s="16" t="inlineStr"/>
      <c r="G169" s="16" t="inlineStr">
        <is>
          <t>Not Started</t>
        </is>
      </c>
      <c r="H169" s="16" t="inlineStr">
        <is>
          <t>Not Reviewed</t>
        </is>
      </c>
      <c r="I169" s="16" t="inlineStr"/>
      <c r="J169" s="20" t="inlineStr"/>
      <c r="K169" s="20" t="inlineStr"/>
      <c r="L169" s="16" t="inlineStr"/>
      <c r="M169" s="16" t="inlineStr"/>
      <c r="N169" s="16" t="inlineStr">
        <is>
          <t>CUI</t>
        </is>
      </c>
      <c r="O169" s="16" t="inlineStr"/>
      <c r="P169" s="16" t="inlineStr"/>
    </row>
    <row r="170">
      <c r="A170" s="16" t="inlineStr"/>
      <c r="B170" s="16" t="inlineStr"/>
      <c r="C170" s="16" t="inlineStr">
        <is>
          <t>Document</t>
        </is>
      </c>
      <c r="D170" s="16" t="inlineStr"/>
      <c r="E170" s="16" t="inlineStr"/>
      <c r="F170" s="16" t="inlineStr"/>
      <c r="G170" s="16" t="inlineStr">
        <is>
          <t>Not Started</t>
        </is>
      </c>
      <c r="H170" s="16" t="inlineStr">
        <is>
          <t>Not Reviewed</t>
        </is>
      </c>
      <c r="I170" s="16" t="inlineStr"/>
      <c r="J170" s="20" t="inlineStr"/>
      <c r="K170" s="20" t="inlineStr"/>
      <c r="L170" s="16" t="inlineStr"/>
      <c r="M170" s="16" t="inlineStr"/>
      <c r="N170" s="16" t="inlineStr">
        <is>
          <t>CUI</t>
        </is>
      </c>
      <c r="O170" s="16" t="inlineStr"/>
      <c r="P170" s="16" t="inlineStr"/>
    </row>
    <row r="171">
      <c r="A171" s="16" t="inlineStr"/>
      <c r="B171" s="16" t="inlineStr"/>
      <c r="C171" s="16" t="inlineStr">
        <is>
          <t>Document</t>
        </is>
      </c>
      <c r="D171" s="16" t="inlineStr"/>
      <c r="E171" s="16" t="inlineStr"/>
      <c r="F171" s="16" t="inlineStr"/>
      <c r="G171" s="16" t="inlineStr">
        <is>
          <t>Not Started</t>
        </is>
      </c>
      <c r="H171" s="16" t="inlineStr">
        <is>
          <t>Not Reviewed</t>
        </is>
      </c>
      <c r="I171" s="16" t="inlineStr"/>
      <c r="J171" s="20" t="inlineStr"/>
      <c r="K171" s="20" t="inlineStr"/>
      <c r="L171" s="16" t="inlineStr"/>
      <c r="M171" s="16" t="inlineStr"/>
      <c r="N171" s="16" t="inlineStr">
        <is>
          <t>CUI</t>
        </is>
      </c>
      <c r="O171" s="16" t="inlineStr"/>
      <c r="P171" s="16" t="inlineStr"/>
    </row>
    <row r="172">
      <c r="A172" s="16" t="inlineStr"/>
      <c r="B172" s="16" t="inlineStr"/>
      <c r="C172" s="16" t="inlineStr">
        <is>
          <t>Document</t>
        </is>
      </c>
      <c r="D172" s="16" t="inlineStr"/>
      <c r="E172" s="16" t="inlineStr"/>
      <c r="F172" s="16" t="inlineStr"/>
      <c r="G172" s="16" t="inlineStr">
        <is>
          <t>Not Started</t>
        </is>
      </c>
      <c r="H172" s="16" t="inlineStr">
        <is>
          <t>Not Reviewed</t>
        </is>
      </c>
      <c r="I172" s="16" t="inlineStr"/>
      <c r="J172" s="20" t="inlineStr"/>
      <c r="K172" s="20" t="inlineStr"/>
      <c r="L172" s="16" t="inlineStr"/>
      <c r="M172" s="16" t="inlineStr"/>
      <c r="N172" s="16" t="inlineStr">
        <is>
          <t>CUI</t>
        </is>
      </c>
      <c r="O172" s="16" t="inlineStr"/>
      <c r="P172" s="16" t="inlineStr"/>
    </row>
    <row r="173">
      <c r="A173" s="16" t="inlineStr"/>
      <c r="B173" s="16" t="inlineStr"/>
      <c r="C173" s="16" t="inlineStr">
        <is>
          <t>Document</t>
        </is>
      </c>
      <c r="D173" s="16" t="inlineStr"/>
      <c r="E173" s="16" t="inlineStr"/>
      <c r="F173" s="16" t="inlineStr"/>
      <c r="G173" s="16" t="inlineStr">
        <is>
          <t>Not Started</t>
        </is>
      </c>
      <c r="H173" s="16" t="inlineStr">
        <is>
          <t>Not Reviewed</t>
        </is>
      </c>
      <c r="I173" s="16" t="inlineStr"/>
      <c r="J173" s="20" t="inlineStr"/>
      <c r="K173" s="20" t="inlineStr"/>
      <c r="L173" s="16" t="inlineStr"/>
      <c r="M173" s="16" t="inlineStr"/>
      <c r="N173" s="16" t="inlineStr">
        <is>
          <t>CUI</t>
        </is>
      </c>
      <c r="O173" s="16" t="inlineStr"/>
      <c r="P173" s="16" t="inlineStr"/>
    </row>
    <row r="174">
      <c r="A174" s="16" t="inlineStr"/>
      <c r="B174" s="16" t="inlineStr"/>
      <c r="C174" s="16" t="inlineStr">
        <is>
          <t>Document</t>
        </is>
      </c>
      <c r="D174" s="16" t="inlineStr"/>
      <c r="E174" s="16" t="inlineStr"/>
      <c r="F174" s="16" t="inlineStr"/>
      <c r="G174" s="16" t="inlineStr">
        <is>
          <t>Not Started</t>
        </is>
      </c>
      <c r="H174" s="16" t="inlineStr">
        <is>
          <t>Not Reviewed</t>
        </is>
      </c>
      <c r="I174" s="16" t="inlineStr"/>
      <c r="J174" s="20" t="inlineStr"/>
      <c r="K174" s="20" t="inlineStr"/>
      <c r="L174" s="16" t="inlineStr"/>
      <c r="M174" s="16" t="inlineStr"/>
      <c r="N174" s="16" t="inlineStr">
        <is>
          <t>CUI</t>
        </is>
      </c>
      <c r="O174" s="16" t="inlineStr"/>
      <c r="P174" s="16" t="inlineStr"/>
    </row>
    <row r="175">
      <c r="A175" s="16" t="inlineStr"/>
      <c r="B175" s="16" t="inlineStr"/>
      <c r="C175" s="16" t="inlineStr">
        <is>
          <t>Document</t>
        </is>
      </c>
      <c r="D175" s="16" t="inlineStr"/>
      <c r="E175" s="16" t="inlineStr"/>
      <c r="F175" s="16" t="inlineStr"/>
      <c r="G175" s="16" t="inlineStr">
        <is>
          <t>Not Started</t>
        </is>
      </c>
      <c r="H175" s="16" t="inlineStr">
        <is>
          <t>Not Reviewed</t>
        </is>
      </c>
      <c r="I175" s="16" t="inlineStr"/>
      <c r="J175" s="20" t="inlineStr"/>
      <c r="K175" s="20" t="inlineStr"/>
      <c r="L175" s="16" t="inlineStr"/>
      <c r="M175" s="16" t="inlineStr"/>
      <c r="N175" s="16" t="inlineStr">
        <is>
          <t>CUI</t>
        </is>
      </c>
      <c r="O175" s="16" t="inlineStr"/>
      <c r="P175" s="16" t="inlineStr"/>
    </row>
    <row r="176">
      <c r="A176" s="16" t="inlineStr"/>
      <c r="B176" s="16" t="inlineStr"/>
      <c r="C176" s="16" t="inlineStr">
        <is>
          <t>Document</t>
        </is>
      </c>
      <c r="D176" s="16" t="inlineStr"/>
      <c r="E176" s="16" t="inlineStr"/>
      <c r="F176" s="16" t="inlineStr"/>
      <c r="G176" s="16" t="inlineStr">
        <is>
          <t>Not Started</t>
        </is>
      </c>
      <c r="H176" s="16" t="inlineStr">
        <is>
          <t>Not Reviewed</t>
        </is>
      </c>
      <c r="I176" s="16" t="inlineStr"/>
      <c r="J176" s="20" t="inlineStr"/>
      <c r="K176" s="20" t="inlineStr"/>
      <c r="L176" s="16" t="inlineStr"/>
      <c r="M176" s="16" t="inlineStr"/>
      <c r="N176" s="16" t="inlineStr">
        <is>
          <t>CUI</t>
        </is>
      </c>
      <c r="O176" s="16" t="inlineStr"/>
      <c r="P176" s="16" t="inlineStr"/>
    </row>
    <row r="177">
      <c r="A177" s="16" t="inlineStr"/>
      <c r="B177" s="16" t="inlineStr"/>
      <c r="C177" s="16" t="inlineStr">
        <is>
          <t>Document</t>
        </is>
      </c>
      <c r="D177" s="16" t="inlineStr"/>
      <c r="E177" s="16" t="inlineStr"/>
      <c r="F177" s="16" t="inlineStr"/>
      <c r="G177" s="16" t="inlineStr">
        <is>
          <t>Not Started</t>
        </is>
      </c>
      <c r="H177" s="16" t="inlineStr">
        <is>
          <t>Not Reviewed</t>
        </is>
      </c>
      <c r="I177" s="16" t="inlineStr"/>
      <c r="J177" s="20" t="inlineStr"/>
      <c r="K177" s="20" t="inlineStr"/>
      <c r="L177" s="16" t="inlineStr"/>
      <c r="M177" s="16" t="inlineStr"/>
      <c r="N177" s="16" t="inlineStr">
        <is>
          <t>CUI</t>
        </is>
      </c>
      <c r="O177" s="16" t="inlineStr"/>
      <c r="P177" s="16" t="inlineStr"/>
    </row>
    <row r="178">
      <c r="A178" s="16" t="inlineStr"/>
      <c r="B178" s="16" t="inlineStr"/>
      <c r="C178" s="16" t="inlineStr">
        <is>
          <t>Document</t>
        </is>
      </c>
      <c r="D178" s="16" t="inlineStr"/>
      <c r="E178" s="16" t="inlineStr"/>
      <c r="F178" s="16" t="inlineStr"/>
      <c r="G178" s="16" t="inlineStr">
        <is>
          <t>Not Started</t>
        </is>
      </c>
      <c r="H178" s="16" t="inlineStr">
        <is>
          <t>Not Reviewed</t>
        </is>
      </c>
      <c r="I178" s="16" t="inlineStr"/>
      <c r="J178" s="20" t="inlineStr"/>
      <c r="K178" s="20" t="inlineStr"/>
      <c r="L178" s="16" t="inlineStr"/>
      <c r="M178" s="16" t="inlineStr"/>
      <c r="N178" s="16" t="inlineStr">
        <is>
          <t>CUI</t>
        </is>
      </c>
      <c r="O178" s="16" t="inlineStr"/>
      <c r="P178" s="16" t="inlineStr"/>
    </row>
    <row r="179">
      <c r="A179" s="16" t="inlineStr"/>
      <c r="B179" s="16" t="inlineStr"/>
      <c r="C179" s="16" t="inlineStr">
        <is>
          <t>Document</t>
        </is>
      </c>
      <c r="D179" s="16" t="inlineStr"/>
      <c r="E179" s="16" t="inlineStr"/>
      <c r="F179" s="16" t="inlineStr"/>
      <c r="G179" s="16" t="inlineStr">
        <is>
          <t>Not Started</t>
        </is>
      </c>
      <c r="H179" s="16" t="inlineStr">
        <is>
          <t>Not Reviewed</t>
        </is>
      </c>
      <c r="I179" s="16" t="inlineStr"/>
      <c r="J179" s="20" t="inlineStr"/>
      <c r="K179" s="20" t="inlineStr"/>
      <c r="L179" s="16" t="inlineStr"/>
      <c r="M179" s="16" t="inlineStr"/>
      <c r="N179" s="16" t="inlineStr">
        <is>
          <t>CUI</t>
        </is>
      </c>
      <c r="O179" s="16" t="inlineStr"/>
      <c r="P179" s="16" t="inlineStr"/>
    </row>
    <row r="180">
      <c r="A180" s="16" t="inlineStr"/>
      <c r="B180" s="16" t="inlineStr"/>
      <c r="C180" s="16" t="inlineStr">
        <is>
          <t>Document</t>
        </is>
      </c>
      <c r="D180" s="16" t="inlineStr"/>
      <c r="E180" s="16" t="inlineStr"/>
      <c r="F180" s="16" t="inlineStr"/>
      <c r="G180" s="16" t="inlineStr">
        <is>
          <t>Not Started</t>
        </is>
      </c>
      <c r="H180" s="16" t="inlineStr">
        <is>
          <t>Not Reviewed</t>
        </is>
      </c>
      <c r="I180" s="16" t="inlineStr"/>
      <c r="J180" s="20" t="inlineStr"/>
      <c r="K180" s="20" t="inlineStr"/>
      <c r="L180" s="16" t="inlineStr"/>
      <c r="M180" s="16" t="inlineStr"/>
      <c r="N180" s="16" t="inlineStr">
        <is>
          <t>CUI</t>
        </is>
      </c>
      <c r="O180" s="16" t="inlineStr"/>
      <c r="P180" s="16" t="inlineStr"/>
    </row>
    <row r="181">
      <c r="A181" s="16" t="inlineStr"/>
      <c r="B181" s="16" t="inlineStr"/>
      <c r="C181" s="16" t="inlineStr">
        <is>
          <t>Document</t>
        </is>
      </c>
      <c r="D181" s="16" t="inlineStr"/>
      <c r="E181" s="16" t="inlineStr"/>
      <c r="F181" s="16" t="inlineStr"/>
      <c r="G181" s="16" t="inlineStr">
        <is>
          <t>Not Started</t>
        </is>
      </c>
      <c r="H181" s="16" t="inlineStr">
        <is>
          <t>Not Reviewed</t>
        </is>
      </c>
      <c r="I181" s="16" t="inlineStr"/>
      <c r="J181" s="20" t="inlineStr"/>
      <c r="K181" s="20" t="inlineStr"/>
      <c r="L181" s="16" t="inlineStr"/>
      <c r="M181" s="16" t="inlineStr"/>
      <c r="N181" s="16" t="inlineStr">
        <is>
          <t>CUI</t>
        </is>
      </c>
      <c r="O181" s="16" t="inlineStr"/>
      <c r="P181" s="16" t="inlineStr"/>
    </row>
    <row r="182">
      <c r="A182" s="16" t="inlineStr"/>
      <c r="B182" s="16" t="inlineStr"/>
      <c r="C182" s="16" t="inlineStr">
        <is>
          <t>Document</t>
        </is>
      </c>
      <c r="D182" s="16" t="inlineStr"/>
      <c r="E182" s="16" t="inlineStr"/>
      <c r="F182" s="16" t="inlineStr"/>
      <c r="G182" s="16" t="inlineStr">
        <is>
          <t>Not Started</t>
        </is>
      </c>
      <c r="H182" s="16" t="inlineStr">
        <is>
          <t>Not Reviewed</t>
        </is>
      </c>
      <c r="I182" s="16" t="inlineStr"/>
      <c r="J182" s="20" t="inlineStr"/>
      <c r="K182" s="20" t="inlineStr"/>
      <c r="L182" s="16" t="inlineStr"/>
      <c r="M182" s="16" t="inlineStr"/>
      <c r="N182" s="16" t="inlineStr">
        <is>
          <t>CUI</t>
        </is>
      </c>
      <c r="O182" s="16" t="inlineStr"/>
      <c r="P182" s="16" t="inlineStr"/>
    </row>
    <row r="183">
      <c r="A183" s="16" t="inlineStr"/>
      <c r="B183" s="16" t="inlineStr"/>
      <c r="C183" s="16" t="inlineStr">
        <is>
          <t>Document</t>
        </is>
      </c>
      <c r="D183" s="16" t="inlineStr"/>
      <c r="E183" s="16" t="inlineStr"/>
      <c r="F183" s="16" t="inlineStr"/>
      <c r="G183" s="16" t="inlineStr">
        <is>
          <t>Not Started</t>
        </is>
      </c>
      <c r="H183" s="16" t="inlineStr">
        <is>
          <t>Not Reviewed</t>
        </is>
      </c>
      <c r="I183" s="16" t="inlineStr"/>
      <c r="J183" s="20" t="inlineStr"/>
      <c r="K183" s="20" t="inlineStr"/>
      <c r="L183" s="16" t="inlineStr"/>
      <c r="M183" s="16" t="inlineStr"/>
      <c r="N183" s="16" t="inlineStr">
        <is>
          <t>CUI</t>
        </is>
      </c>
      <c r="O183" s="16" t="inlineStr"/>
      <c r="P183" s="16" t="inlineStr"/>
    </row>
    <row r="184">
      <c r="A184" s="16" t="inlineStr"/>
      <c r="B184" s="16" t="inlineStr"/>
      <c r="C184" s="16" t="inlineStr">
        <is>
          <t>Document</t>
        </is>
      </c>
      <c r="D184" s="16" t="inlineStr"/>
      <c r="E184" s="16" t="inlineStr"/>
      <c r="F184" s="16" t="inlineStr"/>
      <c r="G184" s="16" t="inlineStr">
        <is>
          <t>Not Started</t>
        </is>
      </c>
      <c r="H184" s="16" t="inlineStr">
        <is>
          <t>Not Reviewed</t>
        </is>
      </c>
      <c r="I184" s="16" t="inlineStr"/>
      <c r="J184" s="20" t="inlineStr"/>
      <c r="K184" s="20" t="inlineStr"/>
      <c r="L184" s="16" t="inlineStr"/>
      <c r="M184" s="16" t="inlineStr"/>
      <c r="N184" s="16" t="inlineStr">
        <is>
          <t>CUI</t>
        </is>
      </c>
      <c r="O184" s="16" t="inlineStr"/>
      <c r="P184" s="16" t="inlineStr"/>
    </row>
    <row r="185">
      <c r="A185" s="16" t="inlineStr"/>
      <c r="B185" s="16" t="inlineStr"/>
      <c r="C185" s="16" t="inlineStr">
        <is>
          <t>Document</t>
        </is>
      </c>
      <c r="D185" s="16" t="inlineStr"/>
      <c r="E185" s="16" t="inlineStr"/>
      <c r="F185" s="16" t="inlineStr"/>
      <c r="G185" s="16" t="inlineStr">
        <is>
          <t>Not Started</t>
        </is>
      </c>
      <c r="H185" s="16" t="inlineStr">
        <is>
          <t>Not Reviewed</t>
        </is>
      </c>
      <c r="I185" s="16" t="inlineStr"/>
      <c r="J185" s="20" t="inlineStr"/>
      <c r="K185" s="20" t="inlineStr"/>
      <c r="L185" s="16" t="inlineStr"/>
      <c r="M185" s="16" t="inlineStr"/>
      <c r="N185" s="16" t="inlineStr">
        <is>
          <t>CUI</t>
        </is>
      </c>
      <c r="O185" s="16" t="inlineStr"/>
      <c r="P185" s="16" t="inlineStr"/>
    </row>
    <row r="186">
      <c r="A186" s="16" t="inlineStr"/>
      <c r="B186" s="16" t="inlineStr"/>
      <c r="C186" s="16" t="inlineStr">
        <is>
          <t>Document</t>
        </is>
      </c>
      <c r="D186" s="16" t="inlineStr"/>
      <c r="E186" s="16" t="inlineStr"/>
      <c r="F186" s="16" t="inlineStr"/>
      <c r="G186" s="16" t="inlineStr">
        <is>
          <t>Not Started</t>
        </is>
      </c>
      <c r="H186" s="16" t="inlineStr">
        <is>
          <t>Not Reviewed</t>
        </is>
      </c>
      <c r="I186" s="16" t="inlineStr"/>
      <c r="J186" s="20" t="inlineStr"/>
      <c r="K186" s="20" t="inlineStr"/>
      <c r="L186" s="16" t="inlineStr"/>
      <c r="M186" s="16" t="inlineStr"/>
      <c r="N186" s="16" t="inlineStr">
        <is>
          <t>CUI</t>
        </is>
      </c>
      <c r="O186" s="16" t="inlineStr"/>
      <c r="P186" s="16" t="inlineStr"/>
    </row>
    <row r="187">
      <c r="A187" s="16" t="inlineStr"/>
      <c r="B187" s="16" t="inlineStr"/>
      <c r="C187" s="16" t="inlineStr">
        <is>
          <t>Document</t>
        </is>
      </c>
      <c r="D187" s="16" t="inlineStr"/>
      <c r="E187" s="16" t="inlineStr"/>
      <c r="F187" s="16" t="inlineStr"/>
      <c r="G187" s="16" t="inlineStr">
        <is>
          <t>Not Started</t>
        </is>
      </c>
      <c r="H187" s="16" t="inlineStr">
        <is>
          <t>Not Reviewed</t>
        </is>
      </c>
      <c r="I187" s="16" t="inlineStr"/>
      <c r="J187" s="20" t="inlineStr"/>
      <c r="K187" s="20" t="inlineStr"/>
      <c r="L187" s="16" t="inlineStr"/>
      <c r="M187" s="16" t="inlineStr"/>
      <c r="N187" s="16" t="inlineStr">
        <is>
          <t>CUI</t>
        </is>
      </c>
      <c r="O187" s="16" t="inlineStr"/>
      <c r="P187" s="16" t="inlineStr"/>
    </row>
    <row r="188">
      <c r="A188" s="16" t="inlineStr"/>
      <c r="B188" s="16" t="inlineStr"/>
      <c r="C188" s="16" t="inlineStr">
        <is>
          <t>Document</t>
        </is>
      </c>
      <c r="D188" s="16" t="inlineStr"/>
      <c r="E188" s="16" t="inlineStr"/>
      <c r="F188" s="16" t="inlineStr"/>
      <c r="G188" s="16" t="inlineStr">
        <is>
          <t>Not Started</t>
        </is>
      </c>
      <c r="H188" s="16" t="inlineStr">
        <is>
          <t>Not Reviewed</t>
        </is>
      </c>
      <c r="I188" s="16" t="inlineStr"/>
      <c r="J188" s="20" t="inlineStr"/>
      <c r="K188" s="20" t="inlineStr"/>
      <c r="L188" s="16" t="inlineStr"/>
      <c r="M188" s="16" t="inlineStr"/>
      <c r="N188" s="16" t="inlineStr">
        <is>
          <t>CUI</t>
        </is>
      </c>
      <c r="O188" s="16" t="inlineStr"/>
      <c r="P188" s="16" t="inlineStr"/>
    </row>
    <row r="189">
      <c r="A189" s="16" t="inlineStr"/>
      <c r="B189" s="16" t="inlineStr"/>
      <c r="C189" s="16" t="inlineStr">
        <is>
          <t>Document</t>
        </is>
      </c>
      <c r="D189" s="16" t="inlineStr"/>
      <c r="E189" s="16" t="inlineStr"/>
      <c r="F189" s="16" t="inlineStr"/>
      <c r="G189" s="16" t="inlineStr">
        <is>
          <t>Not Started</t>
        </is>
      </c>
      <c r="H189" s="16" t="inlineStr">
        <is>
          <t>Not Reviewed</t>
        </is>
      </c>
      <c r="I189" s="16" t="inlineStr"/>
      <c r="J189" s="20" t="inlineStr"/>
      <c r="K189" s="20" t="inlineStr"/>
      <c r="L189" s="16" t="inlineStr"/>
      <c r="M189" s="16" t="inlineStr"/>
      <c r="N189" s="16" t="inlineStr">
        <is>
          <t>CUI</t>
        </is>
      </c>
      <c r="O189" s="16" t="inlineStr"/>
      <c r="P189" s="16" t="inlineStr"/>
    </row>
    <row r="190">
      <c r="A190" s="16" t="inlineStr"/>
      <c r="B190" s="16" t="inlineStr"/>
      <c r="C190" s="16" t="inlineStr">
        <is>
          <t>Document</t>
        </is>
      </c>
      <c r="D190" s="16" t="inlineStr"/>
      <c r="E190" s="16" t="inlineStr"/>
      <c r="F190" s="16" t="inlineStr"/>
      <c r="G190" s="16" t="inlineStr">
        <is>
          <t>Not Started</t>
        </is>
      </c>
      <c r="H190" s="16" t="inlineStr">
        <is>
          <t>Not Reviewed</t>
        </is>
      </c>
      <c r="I190" s="16" t="inlineStr"/>
      <c r="J190" s="20" t="inlineStr"/>
      <c r="K190" s="20" t="inlineStr"/>
      <c r="L190" s="16" t="inlineStr"/>
      <c r="M190" s="16" t="inlineStr"/>
      <c r="N190" s="16" t="inlineStr">
        <is>
          <t>CUI</t>
        </is>
      </c>
      <c r="O190" s="16" t="inlineStr"/>
      <c r="P190" s="16" t="inlineStr"/>
    </row>
    <row r="191">
      <c r="A191" s="16" t="inlineStr"/>
      <c r="B191" s="16" t="inlineStr"/>
      <c r="C191" s="16" t="inlineStr">
        <is>
          <t>Document</t>
        </is>
      </c>
      <c r="D191" s="16" t="inlineStr"/>
      <c r="E191" s="16" t="inlineStr"/>
      <c r="F191" s="16" t="inlineStr"/>
      <c r="G191" s="16" t="inlineStr">
        <is>
          <t>Not Started</t>
        </is>
      </c>
      <c r="H191" s="16" t="inlineStr">
        <is>
          <t>Not Reviewed</t>
        </is>
      </c>
      <c r="I191" s="16" t="inlineStr"/>
      <c r="J191" s="20" t="inlineStr"/>
      <c r="K191" s="20" t="inlineStr"/>
      <c r="L191" s="16" t="inlineStr"/>
      <c r="M191" s="16" t="inlineStr"/>
      <c r="N191" s="16" t="inlineStr">
        <is>
          <t>CUI</t>
        </is>
      </c>
      <c r="O191" s="16" t="inlineStr"/>
      <c r="P191" s="16" t="inlineStr"/>
    </row>
    <row r="192">
      <c r="A192" s="16" t="inlineStr"/>
      <c r="B192" s="16" t="inlineStr"/>
      <c r="C192" s="16" t="inlineStr">
        <is>
          <t>Document</t>
        </is>
      </c>
      <c r="D192" s="16" t="inlineStr"/>
      <c r="E192" s="16" t="inlineStr"/>
      <c r="F192" s="16" t="inlineStr"/>
      <c r="G192" s="16" t="inlineStr">
        <is>
          <t>Not Started</t>
        </is>
      </c>
      <c r="H192" s="16" t="inlineStr">
        <is>
          <t>Not Reviewed</t>
        </is>
      </c>
      <c r="I192" s="16" t="inlineStr"/>
      <c r="J192" s="20" t="inlineStr"/>
      <c r="K192" s="20" t="inlineStr"/>
      <c r="L192" s="16" t="inlineStr"/>
      <c r="M192" s="16" t="inlineStr"/>
      <c r="N192" s="16" t="inlineStr">
        <is>
          <t>CUI</t>
        </is>
      </c>
      <c r="O192" s="16" t="inlineStr"/>
      <c r="P192" s="16" t="inlineStr"/>
    </row>
    <row r="193">
      <c r="A193" s="16" t="inlineStr"/>
      <c r="B193" s="16" t="inlineStr"/>
      <c r="C193" s="16" t="inlineStr">
        <is>
          <t>Document</t>
        </is>
      </c>
      <c r="D193" s="16" t="inlineStr"/>
      <c r="E193" s="16" t="inlineStr"/>
      <c r="F193" s="16" t="inlineStr"/>
      <c r="G193" s="16" t="inlineStr">
        <is>
          <t>Not Started</t>
        </is>
      </c>
      <c r="H193" s="16" t="inlineStr">
        <is>
          <t>Not Reviewed</t>
        </is>
      </c>
      <c r="I193" s="16" t="inlineStr"/>
      <c r="J193" s="20" t="inlineStr"/>
      <c r="K193" s="20" t="inlineStr"/>
      <c r="L193" s="16" t="inlineStr"/>
      <c r="M193" s="16" t="inlineStr"/>
      <c r="N193" s="16" t="inlineStr">
        <is>
          <t>CUI</t>
        </is>
      </c>
      <c r="O193" s="16" t="inlineStr"/>
      <c r="P193" s="16" t="inlineStr"/>
    </row>
    <row r="194">
      <c r="A194" s="16" t="inlineStr"/>
      <c r="B194" s="16" t="inlineStr"/>
      <c r="C194" s="16" t="inlineStr">
        <is>
          <t>Document</t>
        </is>
      </c>
      <c r="D194" s="16" t="inlineStr"/>
      <c r="E194" s="16" t="inlineStr"/>
      <c r="F194" s="16" t="inlineStr"/>
      <c r="G194" s="16" t="inlineStr">
        <is>
          <t>Not Started</t>
        </is>
      </c>
      <c r="H194" s="16" t="inlineStr">
        <is>
          <t>Not Reviewed</t>
        </is>
      </c>
      <c r="I194" s="16" t="inlineStr"/>
      <c r="J194" s="20" t="inlineStr"/>
      <c r="K194" s="20" t="inlineStr"/>
      <c r="L194" s="16" t="inlineStr"/>
      <c r="M194" s="16" t="inlineStr"/>
      <c r="N194" s="16" t="inlineStr">
        <is>
          <t>CUI</t>
        </is>
      </c>
      <c r="O194" s="16" t="inlineStr"/>
      <c r="P194" s="16" t="inlineStr"/>
    </row>
    <row r="195">
      <c r="A195" s="16" t="inlineStr"/>
      <c r="B195" s="16" t="inlineStr"/>
      <c r="C195" s="16" t="inlineStr">
        <is>
          <t>Document</t>
        </is>
      </c>
      <c r="D195" s="16" t="inlineStr"/>
      <c r="E195" s="16" t="inlineStr"/>
      <c r="F195" s="16" t="inlineStr"/>
      <c r="G195" s="16" t="inlineStr">
        <is>
          <t>Not Started</t>
        </is>
      </c>
      <c r="H195" s="16" t="inlineStr">
        <is>
          <t>Not Reviewed</t>
        </is>
      </c>
      <c r="I195" s="16" t="inlineStr"/>
      <c r="J195" s="20" t="inlineStr"/>
      <c r="K195" s="20" t="inlineStr"/>
      <c r="L195" s="16" t="inlineStr"/>
      <c r="M195" s="16" t="inlineStr"/>
      <c r="N195" s="16" t="inlineStr">
        <is>
          <t>CUI</t>
        </is>
      </c>
      <c r="O195" s="16" t="inlineStr"/>
      <c r="P195" s="16" t="inlineStr"/>
    </row>
    <row r="196">
      <c r="A196" s="16" t="inlineStr"/>
      <c r="B196" s="16" t="inlineStr"/>
      <c r="C196" s="16" t="inlineStr">
        <is>
          <t>Document</t>
        </is>
      </c>
      <c r="D196" s="16" t="inlineStr"/>
      <c r="E196" s="16" t="inlineStr"/>
      <c r="F196" s="16" t="inlineStr"/>
      <c r="G196" s="16" t="inlineStr">
        <is>
          <t>Not Started</t>
        </is>
      </c>
      <c r="H196" s="16" t="inlineStr">
        <is>
          <t>Not Reviewed</t>
        </is>
      </c>
      <c r="I196" s="16" t="inlineStr"/>
      <c r="J196" s="20" t="inlineStr"/>
      <c r="K196" s="20" t="inlineStr"/>
      <c r="L196" s="16" t="inlineStr"/>
      <c r="M196" s="16" t="inlineStr"/>
      <c r="N196" s="16" t="inlineStr">
        <is>
          <t>CUI</t>
        </is>
      </c>
      <c r="O196" s="16" t="inlineStr"/>
      <c r="P196" s="16" t="inlineStr"/>
    </row>
    <row r="197">
      <c r="A197" s="16" t="inlineStr"/>
      <c r="B197" s="16" t="inlineStr"/>
      <c r="C197" s="16" t="inlineStr">
        <is>
          <t>Document</t>
        </is>
      </c>
      <c r="D197" s="16" t="inlineStr"/>
      <c r="E197" s="16" t="inlineStr"/>
      <c r="F197" s="16" t="inlineStr"/>
      <c r="G197" s="16" t="inlineStr">
        <is>
          <t>Not Started</t>
        </is>
      </c>
      <c r="H197" s="16" t="inlineStr">
        <is>
          <t>Not Reviewed</t>
        </is>
      </c>
      <c r="I197" s="16" t="inlineStr"/>
      <c r="J197" s="20" t="inlineStr"/>
      <c r="K197" s="20" t="inlineStr"/>
      <c r="L197" s="16" t="inlineStr"/>
      <c r="M197" s="16" t="inlineStr"/>
      <c r="N197" s="16" t="inlineStr">
        <is>
          <t>CUI</t>
        </is>
      </c>
      <c r="O197" s="16" t="inlineStr"/>
      <c r="P197" s="16" t="inlineStr"/>
    </row>
    <row r="198">
      <c r="A198" s="16" t="inlineStr"/>
      <c r="B198" s="16" t="inlineStr"/>
      <c r="C198" s="16" t="inlineStr">
        <is>
          <t>Document</t>
        </is>
      </c>
      <c r="D198" s="16" t="inlineStr"/>
      <c r="E198" s="16" t="inlineStr"/>
      <c r="F198" s="16" t="inlineStr"/>
      <c r="G198" s="16" t="inlineStr">
        <is>
          <t>Not Started</t>
        </is>
      </c>
      <c r="H198" s="16" t="inlineStr">
        <is>
          <t>Not Reviewed</t>
        </is>
      </c>
      <c r="I198" s="16" t="inlineStr"/>
      <c r="J198" s="20" t="inlineStr"/>
      <c r="K198" s="20" t="inlineStr"/>
      <c r="L198" s="16" t="inlineStr"/>
      <c r="M198" s="16" t="inlineStr"/>
      <c r="N198" s="16" t="inlineStr">
        <is>
          <t>CUI</t>
        </is>
      </c>
      <c r="O198" s="16" t="inlineStr"/>
      <c r="P198" s="16" t="inlineStr"/>
    </row>
    <row r="199">
      <c r="A199" s="16" t="inlineStr"/>
      <c r="B199" s="16" t="inlineStr"/>
      <c r="C199" s="16" t="inlineStr">
        <is>
          <t>Document</t>
        </is>
      </c>
      <c r="D199" s="16" t="inlineStr"/>
      <c r="E199" s="16" t="inlineStr"/>
      <c r="F199" s="16" t="inlineStr"/>
      <c r="G199" s="16" t="inlineStr">
        <is>
          <t>Not Started</t>
        </is>
      </c>
      <c r="H199" s="16" t="inlineStr">
        <is>
          <t>Not Reviewed</t>
        </is>
      </c>
      <c r="I199" s="16" t="inlineStr"/>
      <c r="J199" s="20" t="inlineStr"/>
      <c r="K199" s="20" t="inlineStr"/>
      <c r="L199" s="16" t="inlineStr"/>
      <c r="M199" s="16" t="inlineStr"/>
      <c r="N199" s="16" t="inlineStr">
        <is>
          <t>CUI</t>
        </is>
      </c>
      <c r="O199" s="16" t="inlineStr"/>
      <c r="P199" s="16" t="inlineStr"/>
    </row>
    <row r="200">
      <c r="A200" s="16" t="inlineStr"/>
      <c r="B200" s="16" t="inlineStr"/>
      <c r="C200" s="16" t="inlineStr">
        <is>
          <t>Document</t>
        </is>
      </c>
      <c r="D200" s="16" t="inlineStr"/>
      <c r="E200" s="16" t="inlineStr"/>
      <c r="F200" s="16" t="inlineStr"/>
      <c r="G200" s="16" t="inlineStr">
        <is>
          <t>Not Started</t>
        </is>
      </c>
      <c r="H200" s="16" t="inlineStr">
        <is>
          <t>Not Reviewed</t>
        </is>
      </c>
      <c r="I200" s="16" t="inlineStr"/>
      <c r="J200" s="20" t="inlineStr"/>
      <c r="K200" s="20" t="inlineStr"/>
      <c r="L200" s="16" t="inlineStr"/>
      <c r="M200" s="16" t="inlineStr"/>
      <c r="N200" s="16" t="inlineStr">
        <is>
          <t>CUI</t>
        </is>
      </c>
      <c r="O200" s="16" t="inlineStr"/>
      <c r="P200" s="16" t="inlineStr"/>
    </row>
    <row r="201">
      <c r="A201" s="16" t="inlineStr"/>
      <c r="B201" s="16" t="inlineStr"/>
      <c r="C201" s="16" t="inlineStr">
        <is>
          <t>Document</t>
        </is>
      </c>
      <c r="D201" s="16" t="inlineStr"/>
      <c r="E201" s="16" t="inlineStr"/>
      <c r="F201" s="16" t="inlineStr"/>
      <c r="G201" s="16" t="inlineStr">
        <is>
          <t>Not Started</t>
        </is>
      </c>
      <c r="H201" s="16" t="inlineStr">
        <is>
          <t>Not Reviewed</t>
        </is>
      </c>
      <c r="I201" s="16" t="inlineStr"/>
      <c r="J201" s="20" t="inlineStr"/>
      <c r="K201" s="20" t="inlineStr"/>
      <c r="L201" s="16" t="inlineStr"/>
      <c r="M201" s="16" t="inlineStr"/>
      <c r="N201" s="16" t="inlineStr">
        <is>
          <t>CUI</t>
        </is>
      </c>
      <c r="O201" s="16" t="inlineStr"/>
      <c r="P201" s="16" t="inlineStr"/>
    </row>
    <row r="202">
      <c r="A202" s="16" t="inlineStr"/>
      <c r="B202" s="16" t="inlineStr"/>
      <c r="C202" s="16" t="inlineStr">
        <is>
          <t>Document</t>
        </is>
      </c>
      <c r="D202" s="16" t="inlineStr"/>
      <c r="E202" s="16" t="inlineStr"/>
      <c r="F202" s="16" t="inlineStr"/>
      <c r="G202" s="16" t="inlineStr">
        <is>
          <t>Not Started</t>
        </is>
      </c>
      <c r="H202" s="16" t="inlineStr">
        <is>
          <t>Not Reviewed</t>
        </is>
      </c>
      <c r="I202" s="16" t="inlineStr"/>
      <c r="J202" s="20" t="inlineStr"/>
      <c r="K202" s="20" t="inlineStr"/>
      <c r="L202" s="16" t="inlineStr"/>
      <c r="M202" s="16" t="inlineStr"/>
      <c r="N202" s="16" t="inlineStr">
        <is>
          <t>CUI</t>
        </is>
      </c>
      <c r="O202" s="16" t="inlineStr"/>
      <c r="P202" s="16" t="inlineStr"/>
    </row>
    <row r="203">
      <c r="A203" s="16" t="inlineStr"/>
      <c r="B203" s="16" t="inlineStr"/>
      <c r="C203" s="16" t="inlineStr">
        <is>
          <t>Document</t>
        </is>
      </c>
      <c r="D203" s="16" t="inlineStr"/>
      <c r="E203" s="16" t="inlineStr"/>
      <c r="F203" s="16" t="inlineStr"/>
      <c r="G203" s="16" t="inlineStr">
        <is>
          <t>Not Started</t>
        </is>
      </c>
      <c r="H203" s="16" t="inlineStr">
        <is>
          <t>Not Reviewed</t>
        </is>
      </c>
      <c r="I203" s="16" t="inlineStr"/>
      <c r="J203" s="20" t="inlineStr"/>
      <c r="K203" s="20" t="inlineStr"/>
      <c r="L203" s="16" t="inlineStr"/>
      <c r="M203" s="16" t="inlineStr"/>
      <c r="N203" s="16" t="inlineStr">
        <is>
          <t>CUI</t>
        </is>
      </c>
      <c r="O203" s="16" t="inlineStr"/>
      <c r="P203" s="16" t="inlineStr"/>
    </row>
    <row r="204">
      <c r="A204" s="16" t="inlineStr"/>
      <c r="B204" s="16" t="inlineStr"/>
      <c r="C204" s="16" t="inlineStr">
        <is>
          <t>Document</t>
        </is>
      </c>
      <c r="D204" s="16" t="inlineStr"/>
      <c r="E204" s="16" t="inlineStr"/>
      <c r="F204" s="16" t="inlineStr"/>
      <c r="G204" s="16" t="inlineStr">
        <is>
          <t>Not Started</t>
        </is>
      </c>
      <c r="H204" s="16" t="inlineStr">
        <is>
          <t>Not Reviewed</t>
        </is>
      </c>
      <c r="I204" s="16" t="inlineStr"/>
      <c r="J204" s="20" t="inlineStr"/>
      <c r="K204" s="20" t="inlineStr"/>
      <c r="L204" s="16" t="inlineStr"/>
      <c r="M204" s="16" t="inlineStr"/>
      <c r="N204" s="16" t="inlineStr">
        <is>
          <t>CUI</t>
        </is>
      </c>
      <c r="O204" s="16" t="inlineStr"/>
      <c r="P204" s="16" t="inlineStr"/>
    </row>
    <row r="205">
      <c r="A205" s="16" t="inlineStr"/>
      <c r="B205" s="16" t="inlineStr"/>
      <c r="C205" s="16" t="inlineStr">
        <is>
          <t>Document</t>
        </is>
      </c>
      <c r="D205" s="16" t="inlineStr"/>
      <c r="E205" s="16" t="inlineStr"/>
      <c r="F205" s="16" t="inlineStr"/>
      <c r="G205" s="16" t="inlineStr">
        <is>
          <t>Not Started</t>
        </is>
      </c>
      <c r="H205" s="16" t="inlineStr">
        <is>
          <t>Not Reviewed</t>
        </is>
      </c>
      <c r="I205" s="16" t="inlineStr"/>
      <c r="J205" s="20" t="inlineStr"/>
      <c r="K205" s="20" t="inlineStr"/>
      <c r="L205" s="16" t="inlineStr"/>
      <c r="M205" s="16" t="inlineStr"/>
      <c r="N205" s="16" t="inlineStr">
        <is>
          <t>CUI</t>
        </is>
      </c>
      <c r="O205" s="16" t="inlineStr"/>
      <c r="P205" s="16" t="inlineStr"/>
    </row>
    <row r="206">
      <c r="A206" s="16" t="inlineStr"/>
      <c r="B206" s="16" t="inlineStr"/>
      <c r="C206" s="16" t="inlineStr">
        <is>
          <t>Document</t>
        </is>
      </c>
      <c r="D206" s="16" t="inlineStr"/>
      <c r="E206" s="16" t="inlineStr"/>
      <c r="F206" s="16" t="inlineStr"/>
      <c r="G206" s="16" t="inlineStr">
        <is>
          <t>Not Started</t>
        </is>
      </c>
      <c r="H206" s="16" t="inlineStr">
        <is>
          <t>Not Reviewed</t>
        </is>
      </c>
      <c r="I206" s="16" t="inlineStr"/>
      <c r="J206" s="20" t="inlineStr"/>
      <c r="K206" s="20" t="inlineStr"/>
      <c r="L206" s="16" t="inlineStr"/>
      <c r="M206" s="16" t="inlineStr"/>
      <c r="N206" s="16" t="inlineStr">
        <is>
          <t>CUI</t>
        </is>
      </c>
      <c r="O206" s="16" t="inlineStr"/>
      <c r="P206" s="16" t="inlineStr"/>
    </row>
    <row r="207">
      <c r="A207" s="16" t="inlineStr"/>
      <c r="B207" s="16" t="inlineStr"/>
      <c r="C207" s="16" t="inlineStr">
        <is>
          <t>Document</t>
        </is>
      </c>
      <c r="D207" s="16" t="inlineStr"/>
      <c r="E207" s="16" t="inlineStr"/>
      <c r="F207" s="16" t="inlineStr"/>
      <c r="G207" s="16" t="inlineStr">
        <is>
          <t>Not Started</t>
        </is>
      </c>
      <c r="H207" s="16" t="inlineStr">
        <is>
          <t>Not Reviewed</t>
        </is>
      </c>
      <c r="I207" s="16" t="inlineStr"/>
      <c r="J207" s="20" t="inlineStr"/>
      <c r="K207" s="20" t="inlineStr"/>
      <c r="L207" s="16" t="inlineStr"/>
      <c r="M207" s="16" t="inlineStr"/>
      <c r="N207" s="16" t="inlineStr">
        <is>
          <t>CUI</t>
        </is>
      </c>
      <c r="O207" s="16" t="inlineStr"/>
      <c r="P207" s="16" t="inlineStr"/>
    </row>
    <row r="208">
      <c r="A208" s="16" t="inlineStr"/>
      <c r="B208" s="16" t="inlineStr"/>
      <c r="C208" s="16" t="inlineStr">
        <is>
          <t>Document</t>
        </is>
      </c>
      <c r="D208" s="16" t="inlineStr"/>
      <c r="E208" s="16" t="inlineStr"/>
      <c r="F208" s="16" t="inlineStr"/>
      <c r="G208" s="16" t="inlineStr">
        <is>
          <t>Not Started</t>
        </is>
      </c>
      <c r="H208" s="16" t="inlineStr">
        <is>
          <t>Not Reviewed</t>
        </is>
      </c>
      <c r="I208" s="16" t="inlineStr"/>
      <c r="J208" s="20" t="inlineStr"/>
      <c r="K208" s="20" t="inlineStr"/>
      <c r="L208" s="16" t="inlineStr"/>
      <c r="M208" s="16" t="inlineStr"/>
      <c r="N208" s="16" t="inlineStr">
        <is>
          <t>CUI</t>
        </is>
      </c>
      <c r="O208" s="16" t="inlineStr"/>
      <c r="P208" s="16" t="inlineStr"/>
    </row>
    <row r="209">
      <c r="A209" s="16" t="inlineStr"/>
      <c r="B209" s="16" t="inlineStr"/>
      <c r="C209" s="16" t="inlineStr">
        <is>
          <t>Document</t>
        </is>
      </c>
      <c r="D209" s="16" t="inlineStr"/>
      <c r="E209" s="16" t="inlineStr"/>
      <c r="F209" s="16" t="inlineStr"/>
      <c r="G209" s="16" t="inlineStr">
        <is>
          <t>Not Started</t>
        </is>
      </c>
      <c r="H209" s="16" t="inlineStr">
        <is>
          <t>Not Reviewed</t>
        </is>
      </c>
      <c r="I209" s="16" t="inlineStr"/>
      <c r="J209" s="20" t="inlineStr"/>
      <c r="K209" s="20" t="inlineStr"/>
      <c r="L209" s="16" t="inlineStr"/>
      <c r="M209" s="16" t="inlineStr"/>
      <c r="N209" s="16" t="inlineStr">
        <is>
          <t>CUI</t>
        </is>
      </c>
      <c r="O209" s="16" t="inlineStr"/>
      <c r="P209" s="16" t="inlineStr"/>
    </row>
    <row r="210">
      <c r="A210" s="16" t="inlineStr"/>
      <c r="B210" s="16" t="inlineStr"/>
      <c r="C210" s="16" t="inlineStr">
        <is>
          <t>Document</t>
        </is>
      </c>
      <c r="D210" s="16" t="inlineStr"/>
      <c r="E210" s="16" t="inlineStr"/>
      <c r="F210" s="16" t="inlineStr"/>
      <c r="G210" s="16" t="inlineStr">
        <is>
          <t>Not Started</t>
        </is>
      </c>
      <c r="H210" s="16" t="inlineStr">
        <is>
          <t>Not Reviewed</t>
        </is>
      </c>
      <c r="I210" s="16" t="inlineStr"/>
      <c r="J210" s="20" t="inlineStr"/>
      <c r="K210" s="20" t="inlineStr"/>
      <c r="L210" s="16" t="inlineStr"/>
      <c r="M210" s="16" t="inlineStr"/>
      <c r="N210" s="16" t="inlineStr">
        <is>
          <t>CUI</t>
        </is>
      </c>
      <c r="O210" s="16" t="inlineStr"/>
      <c r="P210" s="16" t="inlineStr"/>
    </row>
    <row r="211">
      <c r="A211" s="16" t="inlineStr"/>
      <c r="B211" s="16" t="inlineStr"/>
      <c r="C211" s="16" t="inlineStr">
        <is>
          <t>Document</t>
        </is>
      </c>
      <c r="D211" s="16" t="inlineStr"/>
      <c r="E211" s="16" t="inlineStr"/>
      <c r="F211" s="16" t="inlineStr"/>
      <c r="G211" s="16" t="inlineStr">
        <is>
          <t>Not Started</t>
        </is>
      </c>
      <c r="H211" s="16" t="inlineStr">
        <is>
          <t>Not Reviewed</t>
        </is>
      </c>
      <c r="I211" s="16" t="inlineStr"/>
      <c r="J211" s="20" t="inlineStr"/>
      <c r="K211" s="20" t="inlineStr"/>
      <c r="L211" s="16" t="inlineStr"/>
      <c r="M211" s="16" t="inlineStr"/>
      <c r="N211" s="16" t="inlineStr">
        <is>
          <t>CUI</t>
        </is>
      </c>
      <c r="O211" s="16" t="inlineStr"/>
      <c r="P211" s="16" t="inlineStr"/>
    </row>
    <row r="212">
      <c r="A212" s="16" t="inlineStr"/>
      <c r="B212" s="16" t="inlineStr"/>
      <c r="C212" s="16" t="inlineStr">
        <is>
          <t>Document</t>
        </is>
      </c>
      <c r="D212" s="16" t="inlineStr"/>
      <c r="E212" s="16" t="inlineStr"/>
      <c r="F212" s="16" t="inlineStr"/>
      <c r="G212" s="16" t="inlineStr">
        <is>
          <t>Not Started</t>
        </is>
      </c>
      <c r="H212" s="16" t="inlineStr">
        <is>
          <t>Not Reviewed</t>
        </is>
      </c>
      <c r="I212" s="16" t="inlineStr"/>
      <c r="J212" s="20" t="inlineStr"/>
      <c r="K212" s="20" t="inlineStr"/>
      <c r="L212" s="16" t="inlineStr"/>
      <c r="M212" s="16" t="inlineStr"/>
      <c r="N212" s="16" t="inlineStr">
        <is>
          <t>CUI</t>
        </is>
      </c>
      <c r="O212" s="16" t="inlineStr"/>
      <c r="P212" s="16" t="inlineStr"/>
    </row>
    <row r="213">
      <c r="A213" s="16" t="inlineStr"/>
      <c r="B213" s="16" t="inlineStr"/>
      <c r="C213" s="16" t="inlineStr">
        <is>
          <t>Document</t>
        </is>
      </c>
      <c r="D213" s="16" t="inlineStr"/>
      <c r="E213" s="16" t="inlineStr"/>
      <c r="F213" s="16" t="inlineStr"/>
      <c r="G213" s="16" t="inlineStr">
        <is>
          <t>Not Started</t>
        </is>
      </c>
      <c r="H213" s="16" t="inlineStr">
        <is>
          <t>Not Reviewed</t>
        </is>
      </c>
      <c r="I213" s="16" t="inlineStr"/>
      <c r="J213" s="20" t="inlineStr"/>
      <c r="K213" s="20" t="inlineStr"/>
      <c r="L213" s="16" t="inlineStr"/>
      <c r="M213" s="16" t="inlineStr"/>
      <c r="N213" s="16" t="inlineStr">
        <is>
          <t>CUI</t>
        </is>
      </c>
      <c r="O213" s="16" t="inlineStr"/>
      <c r="P213" s="16" t="inlineStr"/>
    </row>
    <row r="214">
      <c r="A214" s="16" t="inlineStr"/>
      <c r="B214" s="16" t="inlineStr"/>
      <c r="C214" s="16" t="inlineStr">
        <is>
          <t>Document</t>
        </is>
      </c>
      <c r="D214" s="16" t="inlineStr"/>
      <c r="E214" s="16" t="inlineStr"/>
      <c r="F214" s="16" t="inlineStr"/>
      <c r="G214" s="16" t="inlineStr">
        <is>
          <t>Not Started</t>
        </is>
      </c>
      <c r="H214" s="16" t="inlineStr">
        <is>
          <t>Not Reviewed</t>
        </is>
      </c>
      <c r="I214" s="16" t="inlineStr"/>
      <c r="J214" s="20" t="inlineStr"/>
      <c r="K214" s="20" t="inlineStr"/>
      <c r="L214" s="16" t="inlineStr"/>
      <c r="M214" s="16" t="inlineStr"/>
      <c r="N214" s="16" t="inlineStr">
        <is>
          <t>CUI</t>
        </is>
      </c>
      <c r="O214" s="16" t="inlineStr"/>
      <c r="P214" s="16" t="inlineStr"/>
    </row>
    <row r="215">
      <c r="A215" s="16" t="inlineStr"/>
      <c r="B215" s="16" t="inlineStr"/>
      <c r="C215" s="16" t="inlineStr">
        <is>
          <t>Document</t>
        </is>
      </c>
      <c r="D215" s="16" t="inlineStr"/>
      <c r="E215" s="16" t="inlineStr"/>
      <c r="F215" s="16" t="inlineStr"/>
      <c r="G215" s="16" t="inlineStr">
        <is>
          <t>Not Started</t>
        </is>
      </c>
      <c r="H215" s="16" t="inlineStr">
        <is>
          <t>Not Reviewed</t>
        </is>
      </c>
      <c r="I215" s="16" t="inlineStr"/>
      <c r="J215" s="20" t="inlineStr"/>
      <c r="K215" s="20" t="inlineStr"/>
      <c r="L215" s="16" t="inlineStr"/>
      <c r="M215" s="16" t="inlineStr"/>
      <c r="N215" s="16" t="inlineStr">
        <is>
          <t>CUI</t>
        </is>
      </c>
      <c r="O215" s="16" t="inlineStr"/>
      <c r="P215" s="16" t="inlineStr"/>
    </row>
    <row r="216">
      <c r="A216" s="16" t="inlineStr"/>
      <c r="B216" s="16" t="inlineStr"/>
      <c r="C216" s="16" t="inlineStr">
        <is>
          <t>Document</t>
        </is>
      </c>
      <c r="D216" s="16" t="inlineStr"/>
      <c r="E216" s="16" t="inlineStr"/>
      <c r="F216" s="16" t="inlineStr"/>
      <c r="G216" s="16" t="inlineStr">
        <is>
          <t>Not Started</t>
        </is>
      </c>
      <c r="H216" s="16" t="inlineStr">
        <is>
          <t>Not Reviewed</t>
        </is>
      </c>
      <c r="I216" s="16" t="inlineStr"/>
      <c r="J216" s="20" t="inlineStr"/>
      <c r="K216" s="20" t="inlineStr"/>
      <c r="L216" s="16" t="inlineStr"/>
      <c r="M216" s="16" t="inlineStr"/>
      <c r="N216" s="16" t="inlineStr">
        <is>
          <t>CUI</t>
        </is>
      </c>
      <c r="O216" s="16" t="inlineStr"/>
      <c r="P216" s="16" t="inlineStr"/>
    </row>
    <row r="217">
      <c r="A217" s="16" t="inlineStr"/>
      <c r="B217" s="16" t="inlineStr"/>
      <c r="C217" s="16" t="inlineStr">
        <is>
          <t>Document</t>
        </is>
      </c>
      <c r="D217" s="16" t="inlineStr"/>
      <c r="E217" s="16" t="inlineStr"/>
      <c r="F217" s="16" t="inlineStr"/>
      <c r="G217" s="16" t="inlineStr">
        <is>
          <t>Not Started</t>
        </is>
      </c>
      <c r="H217" s="16" t="inlineStr">
        <is>
          <t>Not Reviewed</t>
        </is>
      </c>
      <c r="I217" s="16" t="inlineStr"/>
      <c r="J217" s="20" t="inlineStr"/>
      <c r="K217" s="20" t="inlineStr"/>
      <c r="L217" s="16" t="inlineStr"/>
      <c r="M217" s="16" t="inlineStr"/>
      <c r="N217" s="16" t="inlineStr">
        <is>
          <t>CUI</t>
        </is>
      </c>
      <c r="O217" s="16" t="inlineStr"/>
      <c r="P217" s="16" t="inlineStr"/>
    </row>
    <row r="218">
      <c r="A218" s="16" t="inlineStr"/>
      <c r="B218" s="16" t="inlineStr"/>
      <c r="C218" s="16" t="inlineStr">
        <is>
          <t>Document</t>
        </is>
      </c>
      <c r="D218" s="16" t="inlineStr"/>
      <c r="E218" s="16" t="inlineStr"/>
      <c r="F218" s="16" t="inlineStr"/>
      <c r="G218" s="16" t="inlineStr">
        <is>
          <t>Not Started</t>
        </is>
      </c>
      <c r="H218" s="16" t="inlineStr">
        <is>
          <t>Not Reviewed</t>
        </is>
      </c>
      <c r="I218" s="16" t="inlineStr"/>
      <c r="J218" s="20" t="inlineStr"/>
      <c r="K218" s="20" t="inlineStr"/>
      <c r="L218" s="16" t="inlineStr"/>
      <c r="M218" s="16" t="inlineStr"/>
      <c r="N218" s="16" t="inlineStr">
        <is>
          <t>CUI</t>
        </is>
      </c>
      <c r="O218" s="16" t="inlineStr"/>
      <c r="P218" s="16" t="inlineStr"/>
    </row>
    <row r="219">
      <c r="A219" s="16" t="inlineStr"/>
      <c r="B219" s="16" t="inlineStr"/>
      <c r="C219" s="16" t="inlineStr">
        <is>
          <t>Document</t>
        </is>
      </c>
      <c r="D219" s="16" t="inlineStr"/>
      <c r="E219" s="16" t="inlineStr"/>
      <c r="F219" s="16" t="inlineStr"/>
      <c r="G219" s="16" t="inlineStr">
        <is>
          <t>Not Started</t>
        </is>
      </c>
      <c r="H219" s="16" t="inlineStr">
        <is>
          <t>Not Reviewed</t>
        </is>
      </c>
      <c r="I219" s="16" t="inlineStr"/>
      <c r="J219" s="20" t="inlineStr"/>
      <c r="K219" s="20" t="inlineStr"/>
      <c r="L219" s="16" t="inlineStr"/>
      <c r="M219" s="16" t="inlineStr"/>
      <c r="N219" s="16" t="inlineStr">
        <is>
          <t>CUI</t>
        </is>
      </c>
      <c r="O219" s="16" t="inlineStr"/>
      <c r="P219" s="16" t="inlineStr"/>
    </row>
    <row r="220">
      <c r="A220" s="16" t="inlineStr"/>
      <c r="B220" s="16" t="inlineStr"/>
      <c r="C220" s="16" t="inlineStr">
        <is>
          <t>Document</t>
        </is>
      </c>
      <c r="D220" s="16" t="inlineStr"/>
      <c r="E220" s="16" t="inlineStr"/>
      <c r="F220" s="16" t="inlineStr"/>
      <c r="G220" s="16" t="inlineStr">
        <is>
          <t>Not Started</t>
        </is>
      </c>
      <c r="H220" s="16" t="inlineStr">
        <is>
          <t>Not Reviewed</t>
        </is>
      </c>
      <c r="I220" s="16" t="inlineStr"/>
      <c r="J220" s="20" t="inlineStr"/>
      <c r="K220" s="20" t="inlineStr"/>
      <c r="L220" s="16" t="inlineStr"/>
      <c r="M220" s="16" t="inlineStr"/>
      <c r="N220" s="16" t="inlineStr">
        <is>
          <t>CUI</t>
        </is>
      </c>
      <c r="O220" s="16" t="inlineStr"/>
      <c r="P220" s="16" t="inlineStr"/>
    </row>
    <row r="221">
      <c r="A221" s="16" t="inlineStr"/>
      <c r="B221" s="16" t="inlineStr"/>
      <c r="C221" s="16" t="inlineStr">
        <is>
          <t>Document</t>
        </is>
      </c>
      <c r="D221" s="16" t="inlineStr"/>
      <c r="E221" s="16" t="inlineStr"/>
      <c r="F221" s="16" t="inlineStr"/>
      <c r="G221" s="16" t="inlineStr">
        <is>
          <t>Not Started</t>
        </is>
      </c>
      <c r="H221" s="16" t="inlineStr">
        <is>
          <t>Not Reviewed</t>
        </is>
      </c>
      <c r="I221" s="16" t="inlineStr"/>
      <c r="J221" s="20" t="inlineStr"/>
      <c r="K221" s="20" t="inlineStr"/>
      <c r="L221" s="16" t="inlineStr"/>
      <c r="M221" s="16" t="inlineStr"/>
      <c r="N221" s="16" t="inlineStr">
        <is>
          <t>CUI</t>
        </is>
      </c>
      <c r="O221" s="16" t="inlineStr"/>
      <c r="P221" s="16" t="inlineStr"/>
    </row>
    <row r="222">
      <c r="A222" s="16" t="inlineStr"/>
      <c r="B222" s="16" t="inlineStr"/>
      <c r="C222" s="16" t="inlineStr">
        <is>
          <t>Document</t>
        </is>
      </c>
      <c r="D222" s="16" t="inlineStr"/>
      <c r="E222" s="16" t="inlineStr"/>
      <c r="F222" s="16" t="inlineStr"/>
      <c r="G222" s="16" t="inlineStr">
        <is>
          <t>Not Started</t>
        </is>
      </c>
      <c r="H222" s="16" t="inlineStr">
        <is>
          <t>Not Reviewed</t>
        </is>
      </c>
      <c r="I222" s="16" t="inlineStr"/>
      <c r="J222" s="20" t="inlineStr"/>
      <c r="K222" s="20" t="inlineStr"/>
      <c r="L222" s="16" t="inlineStr"/>
      <c r="M222" s="16" t="inlineStr"/>
      <c r="N222" s="16" t="inlineStr">
        <is>
          <t>CUI</t>
        </is>
      </c>
      <c r="O222" s="16" t="inlineStr"/>
      <c r="P222" s="16" t="inlineStr"/>
    </row>
    <row r="223">
      <c r="A223" s="16" t="inlineStr"/>
      <c r="B223" s="16" t="inlineStr"/>
      <c r="C223" s="16" t="inlineStr">
        <is>
          <t>Document</t>
        </is>
      </c>
      <c r="D223" s="16" t="inlineStr"/>
      <c r="E223" s="16" t="inlineStr"/>
      <c r="F223" s="16" t="inlineStr"/>
      <c r="G223" s="16" t="inlineStr">
        <is>
          <t>Not Started</t>
        </is>
      </c>
      <c r="H223" s="16" t="inlineStr">
        <is>
          <t>Not Reviewed</t>
        </is>
      </c>
      <c r="I223" s="16" t="inlineStr"/>
      <c r="J223" s="20" t="inlineStr"/>
      <c r="K223" s="20" t="inlineStr"/>
      <c r="L223" s="16" t="inlineStr"/>
      <c r="M223" s="16" t="inlineStr"/>
      <c r="N223" s="16" t="inlineStr">
        <is>
          <t>CUI</t>
        </is>
      </c>
      <c r="O223" s="16" t="inlineStr"/>
      <c r="P223" s="16" t="inlineStr"/>
    </row>
    <row r="224">
      <c r="A224" s="16" t="inlineStr"/>
      <c r="B224" s="16" t="inlineStr"/>
      <c r="C224" s="16" t="inlineStr">
        <is>
          <t>Document</t>
        </is>
      </c>
      <c r="D224" s="16" t="inlineStr"/>
      <c r="E224" s="16" t="inlineStr"/>
      <c r="F224" s="16" t="inlineStr"/>
      <c r="G224" s="16" t="inlineStr">
        <is>
          <t>Not Started</t>
        </is>
      </c>
      <c r="H224" s="16" t="inlineStr">
        <is>
          <t>Not Reviewed</t>
        </is>
      </c>
      <c r="I224" s="16" t="inlineStr"/>
      <c r="J224" s="20" t="inlineStr"/>
      <c r="K224" s="20" t="inlineStr"/>
      <c r="L224" s="16" t="inlineStr"/>
      <c r="M224" s="16" t="inlineStr"/>
      <c r="N224" s="16" t="inlineStr">
        <is>
          <t>CUI</t>
        </is>
      </c>
      <c r="O224" s="16" t="inlineStr"/>
      <c r="P224" s="16" t="inlineStr"/>
    </row>
    <row r="225">
      <c r="A225" s="16" t="inlineStr"/>
      <c r="B225" s="16" t="inlineStr"/>
      <c r="C225" s="16" t="inlineStr">
        <is>
          <t>Document</t>
        </is>
      </c>
      <c r="D225" s="16" t="inlineStr"/>
      <c r="E225" s="16" t="inlineStr"/>
      <c r="F225" s="16" t="inlineStr"/>
      <c r="G225" s="16" t="inlineStr">
        <is>
          <t>Not Started</t>
        </is>
      </c>
      <c r="H225" s="16" t="inlineStr">
        <is>
          <t>Not Reviewed</t>
        </is>
      </c>
      <c r="I225" s="16" t="inlineStr"/>
      <c r="J225" s="20" t="inlineStr"/>
      <c r="K225" s="20" t="inlineStr"/>
      <c r="L225" s="16" t="inlineStr"/>
      <c r="M225" s="16" t="inlineStr"/>
      <c r="N225" s="16" t="inlineStr">
        <is>
          <t>CUI</t>
        </is>
      </c>
      <c r="O225" s="16" t="inlineStr"/>
      <c r="P225" s="16" t="inlineStr"/>
    </row>
    <row r="226">
      <c r="A226" s="16" t="inlineStr"/>
      <c r="B226" s="16" t="inlineStr"/>
      <c r="C226" s="16" t="inlineStr">
        <is>
          <t>Document</t>
        </is>
      </c>
      <c r="D226" s="16" t="inlineStr"/>
      <c r="E226" s="16" t="inlineStr"/>
      <c r="F226" s="16" t="inlineStr"/>
      <c r="G226" s="16" t="inlineStr">
        <is>
          <t>Not Started</t>
        </is>
      </c>
      <c r="H226" s="16" t="inlineStr">
        <is>
          <t>Not Reviewed</t>
        </is>
      </c>
      <c r="I226" s="16" t="inlineStr"/>
      <c r="J226" s="20" t="inlineStr"/>
      <c r="K226" s="20" t="inlineStr"/>
      <c r="L226" s="16" t="inlineStr"/>
      <c r="M226" s="16" t="inlineStr"/>
      <c r="N226" s="16" t="inlineStr">
        <is>
          <t>CUI</t>
        </is>
      </c>
      <c r="O226" s="16" t="inlineStr"/>
      <c r="P226" s="16" t="inlineStr"/>
    </row>
    <row r="227">
      <c r="A227" s="16" t="inlineStr"/>
      <c r="B227" s="16" t="inlineStr"/>
      <c r="C227" s="16" t="inlineStr">
        <is>
          <t>Document</t>
        </is>
      </c>
      <c r="D227" s="16" t="inlineStr"/>
      <c r="E227" s="16" t="inlineStr"/>
      <c r="F227" s="16" t="inlineStr"/>
      <c r="G227" s="16" t="inlineStr">
        <is>
          <t>Not Started</t>
        </is>
      </c>
      <c r="H227" s="16" t="inlineStr">
        <is>
          <t>Not Reviewed</t>
        </is>
      </c>
      <c r="I227" s="16" t="inlineStr"/>
      <c r="J227" s="20" t="inlineStr"/>
      <c r="K227" s="20" t="inlineStr"/>
      <c r="L227" s="16" t="inlineStr"/>
      <c r="M227" s="16" t="inlineStr"/>
      <c r="N227" s="16" t="inlineStr">
        <is>
          <t>CUI</t>
        </is>
      </c>
      <c r="O227" s="16" t="inlineStr"/>
      <c r="P227" s="16" t="inlineStr"/>
    </row>
    <row r="228">
      <c r="A228" s="16" t="inlineStr"/>
      <c r="B228" s="16" t="inlineStr"/>
      <c r="C228" s="16" t="inlineStr">
        <is>
          <t>Document</t>
        </is>
      </c>
      <c r="D228" s="16" t="inlineStr"/>
      <c r="E228" s="16" t="inlineStr"/>
      <c r="F228" s="16" t="inlineStr"/>
      <c r="G228" s="16" t="inlineStr">
        <is>
          <t>Not Started</t>
        </is>
      </c>
      <c r="H228" s="16" t="inlineStr">
        <is>
          <t>Not Reviewed</t>
        </is>
      </c>
      <c r="I228" s="16" t="inlineStr"/>
      <c r="J228" s="20" t="inlineStr"/>
      <c r="K228" s="20" t="inlineStr"/>
      <c r="L228" s="16" t="inlineStr"/>
      <c r="M228" s="16" t="inlineStr"/>
      <c r="N228" s="16" t="inlineStr">
        <is>
          <t>CUI</t>
        </is>
      </c>
      <c r="O228" s="16" t="inlineStr"/>
      <c r="P228" s="16" t="inlineStr"/>
    </row>
    <row r="229">
      <c r="A229" s="16" t="inlineStr"/>
      <c r="B229" s="16" t="inlineStr"/>
      <c r="C229" s="16" t="inlineStr">
        <is>
          <t>Document</t>
        </is>
      </c>
      <c r="D229" s="16" t="inlineStr"/>
      <c r="E229" s="16" t="inlineStr"/>
      <c r="F229" s="16" t="inlineStr"/>
      <c r="G229" s="16" t="inlineStr">
        <is>
          <t>Not Started</t>
        </is>
      </c>
      <c r="H229" s="16" t="inlineStr">
        <is>
          <t>Not Reviewed</t>
        </is>
      </c>
      <c r="I229" s="16" t="inlineStr"/>
      <c r="J229" s="20" t="inlineStr"/>
      <c r="K229" s="20" t="inlineStr"/>
      <c r="L229" s="16" t="inlineStr"/>
      <c r="M229" s="16" t="inlineStr"/>
      <c r="N229" s="16" t="inlineStr">
        <is>
          <t>CUI</t>
        </is>
      </c>
      <c r="O229" s="16" t="inlineStr"/>
      <c r="P229" s="16" t="inlineStr"/>
    </row>
    <row r="230">
      <c r="A230" s="16" t="inlineStr"/>
      <c r="B230" s="16" t="inlineStr"/>
      <c r="C230" s="16" t="inlineStr">
        <is>
          <t>Document</t>
        </is>
      </c>
      <c r="D230" s="16" t="inlineStr"/>
      <c r="E230" s="16" t="inlineStr"/>
      <c r="F230" s="16" t="inlineStr"/>
      <c r="G230" s="16" t="inlineStr">
        <is>
          <t>Not Started</t>
        </is>
      </c>
      <c r="H230" s="16" t="inlineStr">
        <is>
          <t>Not Reviewed</t>
        </is>
      </c>
      <c r="I230" s="16" t="inlineStr"/>
      <c r="J230" s="20" t="inlineStr"/>
      <c r="K230" s="20" t="inlineStr"/>
      <c r="L230" s="16" t="inlineStr"/>
      <c r="M230" s="16" t="inlineStr"/>
      <c r="N230" s="16" t="inlineStr">
        <is>
          <t>CUI</t>
        </is>
      </c>
      <c r="O230" s="16" t="inlineStr"/>
      <c r="P230" s="16" t="inlineStr"/>
    </row>
    <row r="231">
      <c r="A231" s="16" t="inlineStr"/>
      <c r="B231" s="16" t="inlineStr"/>
      <c r="C231" s="16" t="inlineStr">
        <is>
          <t>Document</t>
        </is>
      </c>
      <c r="D231" s="16" t="inlineStr"/>
      <c r="E231" s="16" t="inlineStr"/>
      <c r="F231" s="16" t="inlineStr"/>
      <c r="G231" s="16" t="inlineStr">
        <is>
          <t>Not Started</t>
        </is>
      </c>
      <c r="H231" s="16" t="inlineStr">
        <is>
          <t>Not Reviewed</t>
        </is>
      </c>
      <c r="I231" s="16" t="inlineStr"/>
      <c r="J231" s="20" t="inlineStr"/>
      <c r="K231" s="20" t="inlineStr"/>
      <c r="L231" s="16" t="inlineStr"/>
      <c r="M231" s="16" t="inlineStr"/>
      <c r="N231" s="16" t="inlineStr">
        <is>
          <t>CUI</t>
        </is>
      </c>
      <c r="O231" s="16" t="inlineStr"/>
      <c r="P231" s="16" t="inlineStr"/>
    </row>
    <row r="232">
      <c r="A232" s="16" t="inlineStr"/>
      <c r="B232" s="16" t="inlineStr"/>
      <c r="C232" s="16" t="inlineStr">
        <is>
          <t>Document</t>
        </is>
      </c>
      <c r="D232" s="16" t="inlineStr"/>
      <c r="E232" s="16" t="inlineStr"/>
      <c r="F232" s="16" t="inlineStr"/>
      <c r="G232" s="16" t="inlineStr">
        <is>
          <t>Not Started</t>
        </is>
      </c>
      <c r="H232" s="16" t="inlineStr">
        <is>
          <t>Not Reviewed</t>
        </is>
      </c>
      <c r="I232" s="16" t="inlineStr"/>
      <c r="J232" s="20" t="inlineStr"/>
      <c r="K232" s="20" t="inlineStr"/>
      <c r="L232" s="16" t="inlineStr"/>
      <c r="M232" s="16" t="inlineStr"/>
      <c r="N232" s="16" t="inlineStr">
        <is>
          <t>CUI</t>
        </is>
      </c>
      <c r="O232" s="16" t="inlineStr"/>
      <c r="P232" s="16" t="inlineStr"/>
    </row>
    <row r="233">
      <c r="A233" s="16" t="inlineStr"/>
      <c r="B233" s="16" t="inlineStr"/>
      <c r="C233" s="16" t="inlineStr">
        <is>
          <t>Document</t>
        </is>
      </c>
      <c r="D233" s="16" t="inlineStr"/>
      <c r="E233" s="16" t="inlineStr"/>
      <c r="F233" s="16" t="inlineStr"/>
      <c r="G233" s="16" t="inlineStr">
        <is>
          <t>Not Started</t>
        </is>
      </c>
      <c r="H233" s="16" t="inlineStr">
        <is>
          <t>Not Reviewed</t>
        </is>
      </c>
      <c r="I233" s="16" t="inlineStr"/>
      <c r="J233" s="20" t="inlineStr"/>
      <c r="K233" s="20" t="inlineStr"/>
      <c r="L233" s="16" t="inlineStr"/>
      <c r="M233" s="16" t="inlineStr"/>
      <c r="N233" s="16" t="inlineStr">
        <is>
          <t>CUI</t>
        </is>
      </c>
      <c r="O233" s="16" t="inlineStr"/>
      <c r="P233" s="16" t="inlineStr"/>
    </row>
    <row r="234">
      <c r="A234" s="16" t="inlineStr"/>
      <c r="B234" s="16" t="inlineStr"/>
      <c r="C234" s="16" t="inlineStr">
        <is>
          <t>Document</t>
        </is>
      </c>
      <c r="D234" s="16" t="inlineStr"/>
      <c r="E234" s="16" t="inlineStr"/>
      <c r="F234" s="16" t="inlineStr"/>
      <c r="G234" s="16" t="inlineStr">
        <is>
          <t>Not Started</t>
        </is>
      </c>
      <c r="H234" s="16" t="inlineStr">
        <is>
          <t>Not Reviewed</t>
        </is>
      </c>
      <c r="I234" s="16" t="inlineStr"/>
      <c r="J234" s="20" t="inlineStr"/>
      <c r="K234" s="20" t="inlineStr"/>
      <c r="L234" s="16" t="inlineStr"/>
      <c r="M234" s="16" t="inlineStr"/>
      <c r="N234" s="16" t="inlineStr">
        <is>
          <t>CUI</t>
        </is>
      </c>
      <c r="O234" s="16" t="inlineStr"/>
      <c r="P234" s="16" t="inlineStr"/>
    </row>
    <row r="235">
      <c r="A235" s="16" t="inlineStr"/>
      <c r="B235" s="16" t="inlineStr"/>
      <c r="C235" s="16" t="inlineStr">
        <is>
          <t>Document</t>
        </is>
      </c>
      <c r="D235" s="16" t="inlineStr"/>
      <c r="E235" s="16" t="inlineStr"/>
      <c r="F235" s="16" t="inlineStr"/>
      <c r="G235" s="16" t="inlineStr">
        <is>
          <t>Not Started</t>
        </is>
      </c>
      <c r="H235" s="16" t="inlineStr">
        <is>
          <t>Not Reviewed</t>
        </is>
      </c>
      <c r="I235" s="16" t="inlineStr"/>
      <c r="J235" s="20" t="inlineStr"/>
      <c r="K235" s="20" t="inlineStr"/>
      <c r="L235" s="16" t="inlineStr"/>
      <c r="M235" s="16" t="inlineStr"/>
      <c r="N235" s="16" t="inlineStr">
        <is>
          <t>CUI</t>
        </is>
      </c>
      <c r="O235" s="16" t="inlineStr"/>
      <c r="P235" s="16" t="inlineStr"/>
    </row>
    <row r="236">
      <c r="A236" s="16" t="inlineStr"/>
      <c r="B236" s="16" t="inlineStr"/>
      <c r="C236" s="16" t="inlineStr">
        <is>
          <t>Document</t>
        </is>
      </c>
      <c r="D236" s="16" t="inlineStr"/>
      <c r="E236" s="16" t="inlineStr"/>
      <c r="F236" s="16" t="inlineStr"/>
      <c r="G236" s="16" t="inlineStr">
        <is>
          <t>Not Started</t>
        </is>
      </c>
      <c r="H236" s="16" t="inlineStr">
        <is>
          <t>Not Reviewed</t>
        </is>
      </c>
      <c r="I236" s="16" t="inlineStr"/>
      <c r="J236" s="20" t="inlineStr"/>
      <c r="K236" s="20" t="inlineStr"/>
      <c r="L236" s="16" t="inlineStr"/>
      <c r="M236" s="16" t="inlineStr"/>
      <c r="N236" s="16" t="inlineStr">
        <is>
          <t>CUI</t>
        </is>
      </c>
      <c r="O236" s="16" t="inlineStr"/>
      <c r="P236" s="16" t="inlineStr"/>
    </row>
    <row r="237">
      <c r="A237" s="16" t="inlineStr"/>
      <c r="B237" s="16" t="inlineStr"/>
      <c r="C237" s="16" t="inlineStr">
        <is>
          <t>Document</t>
        </is>
      </c>
      <c r="D237" s="16" t="inlineStr"/>
      <c r="E237" s="16" t="inlineStr"/>
      <c r="F237" s="16" t="inlineStr"/>
      <c r="G237" s="16" t="inlineStr">
        <is>
          <t>Not Started</t>
        </is>
      </c>
      <c r="H237" s="16" t="inlineStr">
        <is>
          <t>Not Reviewed</t>
        </is>
      </c>
      <c r="I237" s="16" t="inlineStr"/>
      <c r="J237" s="20" t="inlineStr"/>
      <c r="K237" s="20" t="inlineStr"/>
      <c r="L237" s="16" t="inlineStr"/>
      <c r="M237" s="16" t="inlineStr"/>
      <c r="N237" s="16" t="inlineStr">
        <is>
          <t>CUI</t>
        </is>
      </c>
      <c r="O237" s="16" t="inlineStr"/>
      <c r="P237" s="16" t="inlineStr"/>
    </row>
    <row r="238">
      <c r="A238" s="16" t="inlineStr"/>
      <c r="B238" s="16" t="inlineStr"/>
      <c r="C238" s="16" t="inlineStr">
        <is>
          <t>Document</t>
        </is>
      </c>
      <c r="D238" s="16" t="inlineStr"/>
      <c r="E238" s="16" t="inlineStr"/>
      <c r="F238" s="16" t="inlineStr"/>
      <c r="G238" s="16" t="inlineStr">
        <is>
          <t>Not Started</t>
        </is>
      </c>
      <c r="H238" s="16" t="inlineStr">
        <is>
          <t>Not Reviewed</t>
        </is>
      </c>
      <c r="I238" s="16" t="inlineStr"/>
      <c r="J238" s="20" t="inlineStr"/>
      <c r="K238" s="20" t="inlineStr"/>
      <c r="L238" s="16" t="inlineStr"/>
      <c r="M238" s="16" t="inlineStr"/>
      <c r="N238" s="16" t="inlineStr">
        <is>
          <t>CUI</t>
        </is>
      </c>
      <c r="O238" s="16" t="inlineStr"/>
      <c r="P238" s="16" t="inlineStr"/>
    </row>
    <row r="239">
      <c r="A239" s="16" t="inlineStr"/>
      <c r="B239" s="16" t="inlineStr"/>
      <c r="C239" s="16" t="inlineStr">
        <is>
          <t>Document</t>
        </is>
      </c>
      <c r="D239" s="16" t="inlineStr"/>
      <c r="E239" s="16" t="inlineStr"/>
      <c r="F239" s="16" t="inlineStr"/>
      <c r="G239" s="16" t="inlineStr">
        <is>
          <t>Not Started</t>
        </is>
      </c>
      <c r="H239" s="16" t="inlineStr">
        <is>
          <t>Not Reviewed</t>
        </is>
      </c>
      <c r="I239" s="16" t="inlineStr"/>
      <c r="J239" s="20" t="inlineStr"/>
      <c r="K239" s="20" t="inlineStr"/>
      <c r="L239" s="16" t="inlineStr"/>
      <c r="M239" s="16" t="inlineStr"/>
      <c r="N239" s="16" t="inlineStr">
        <is>
          <t>CUI</t>
        </is>
      </c>
      <c r="O239" s="16" t="inlineStr"/>
      <c r="P239" s="16" t="inlineStr"/>
    </row>
    <row r="240">
      <c r="A240" s="16" t="inlineStr"/>
      <c r="B240" s="16" t="inlineStr"/>
      <c r="C240" s="16" t="inlineStr">
        <is>
          <t>Document</t>
        </is>
      </c>
      <c r="D240" s="16" t="inlineStr"/>
      <c r="E240" s="16" t="inlineStr"/>
      <c r="F240" s="16" t="inlineStr"/>
      <c r="G240" s="16" t="inlineStr">
        <is>
          <t>Not Started</t>
        </is>
      </c>
      <c r="H240" s="16" t="inlineStr">
        <is>
          <t>Not Reviewed</t>
        </is>
      </c>
      <c r="I240" s="16" t="inlineStr"/>
      <c r="J240" s="20" t="inlineStr"/>
      <c r="K240" s="20" t="inlineStr"/>
      <c r="L240" s="16" t="inlineStr"/>
      <c r="M240" s="16" t="inlineStr"/>
      <c r="N240" s="16" t="inlineStr">
        <is>
          <t>CUI</t>
        </is>
      </c>
      <c r="O240" s="16" t="inlineStr"/>
      <c r="P240" s="16" t="inlineStr"/>
    </row>
    <row r="241">
      <c r="A241" s="16" t="inlineStr"/>
      <c r="B241" s="16" t="inlineStr"/>
      <c r="C241" s="16" t="inlineStr">
        <is>
          <t>Document</t>
        </is>
      </c>
      <c r="D241" s="16" t="inlineStr"/>
      <c r="E241" s="16" t="inlineStr"/>
      <c r="F241" s="16" t="inlineStr"/>
      <c r="G241" s="16" t="inlineStr">
        <is>
          <t>Not Started</t>
        </is>
      </c>
      <c r="H241" s="16" t="inlineStr">
        <is>
          <t>Not Reviewed</t>
        </is>
      </c>
      <c r="I241" s="16" t="inlineStr"/>
      <c r="J241" s="20" t="inlineStr"/>
      <c r="K241" s="20" t="inlineStr"/>
      <c r="L241" s="16" t="inlineStr"/>
      <c r="M241" s="16" t="inlineStr"/>
      <c r="N241" s="16" t="inlineStr">
        <is>
          <t>CUI</t>
        </is>
      </c>
      <c r="O241" s="16" t="inlineStr"/>
      <c r="P241" s="16" t="inlineStr"/>
    </row>
    <row r="242">
      <c r="A242" s="16" t="inlineStr"/>
      <c r="B242" s="16" t="inlineStr"/>
      <c r="C242" s="16" t="inlineStr">
        <is>
          <t>Document</t>
        </is>
      </c>
      <c r="D242" s="16" t="inlineStr"/>
      <c r="E242" s="16" t="inlineStr"/>
      <c r="F242" s="16" t="inlineStr"/>
      <c r="G242" s="16" t="inlineStr">
        <is>
          <t>Not Started</t>
        </is>
      </c>
      <c r="H242" s="16" t="inlineStr">
        <is>
          <t>Not Reviewed</t>
        </is>
      </c>
      <c r="I242" s="16" t="inlineStr"/>
      <c r="J242" s="20" t="inlineStr"/>
      <c r="K242" s="20" t="inlineStr"/>
      <c r="L242" s="16" t="inlineStr"/>
      <c r="M242" s="16" t="inlineStr"/>
      <c r="N242" s="16" t="inlineStr">
        <is>
          <t>CUI</t>
        </is>
      </c>
      <c r="O242" s="16" t="inlineStr"/>
      <c r="P242" s="16" t="inlineStr"/>
    </row>
    <row r="243">
      <c r="A243" s="16" t="inlineStr"/>
      <c r="B243" s="16" t="inlineStr"/>
      <c r="C243" s="16" t="inlineStr">
        <is>
          <t>Document</t>
        </is>
      </c>
      <c r="D243" s="16" t="inlineStr"/>
      <c r="E243" s="16" t="inlineStr"/>
      <c r="F243" s="16" t="inlineStr"/>
      <c r="G243" s="16" t="inlineStr">
        <is>
          <t>Not Started</t>
        </is>
      </c>
      <c r="H243" s="16" t="inlineStr">
        <is>
          <t>Not Reviewed</t>
        </is>
      </c>
      <c r="I243" s="16" t="inlineStr"/>
      <c r="J243" s="20" t="inlineStr"/>
      <c r="K243" s="20" t="inlineStr"/>
      <c r="L243" s="16" t="inlineStr"/>
      <c r="M243" s="16" t="inlineStr"/>
      <c r="N243" s="16" t="inlineStr">
        <is>
          <t>CUI</t>
        </is>
      </c>
      <c r="O243" s="16" t="inlineStr"/>
      <c r="P243" s="16" t="inlineStr"/>
    </row>
    <row r="244">
      <c r="A244" s="16" t="inlineStr"/>
      <c r="B244" s="16" t="inlineStr"/>
      <c r="C244" s="16" t="inlineStr">
        <is>
          <t>Document</t>
        </is>
      </c>
      <c r="D244" s="16" t="inlineStr"/>
      <c r="E244" s="16" t="inlineStr"/>
      <c r="F244" s="16" t="inlineStr"/>
      <c r="G244" s="16" t="inlineStr">
        <is>
          <t>Not Started</t>
        </is>
      </c>
      <c r="H244" s="16" t="inlineStr">
        <is>
          <t>Not Reviewed</t>
        </is>
      </c>
      <c r="I244" s="16" t="inlineStr"/>
      <c r="J244" s="20" t="inlineStr"/>
      <c r="K244" s="20" t="inlineStr"/>
      <c r="L244" s="16" t="inlineStr"/>
      <c r="M244" s="16" t="inlineStr"/>
      <c r="N244" s="16" t="inlineStr">
        <is>
          <t>CUI</t>
        </is>
      </c>
      <c r="O244" s="16" t="inlineStr"/>
      <c r="P244" s="16" t="inlineStr"/>
    </row>
    <row r="245">
      <c r="A245" s="16" t="inlineStr"/>
      <c r="B245" s="16" t="inlineStr"/>
      <c r="C245" s="16" t="inlineStr">
        <is>
          <t>Document</t>
        </is>
      </c>
      <c r="D245" s="16" t="inlineStr"/>
      <c r="E245" s="16" t="inlineStr"/>
      <c r="F245" s="16" t="inlineStr"/>
      <c r="G245" s="16" t="inlineStr">
        <is>
          <t>Not Started</t>
        </is>
      </c>
      <c r="H245" s="16" t="inlineStr">
        <is>
          <t>Not Reviewed</t>
        </is>
      </c>
      <c r="I245" s="16" t="inlineStr"/>
      <c r="J245" s="20" t="inlineStr"/>
      <c r="K245" s="20" t="inlineStr"/>
      <c r="L245" s="16" t="inlineStr"/>
      <c r="M245" s="16" t="inlineStr"/>
      <c r="N245" s="16" t="inlineStr">
        <is>
          <t>CUI</t>
        </is>
      </c>
      <c r="O245" s="16" t="inlineStr"/>
      <c r="P245" s="16" t="inlineStr"/>
    </row>
    <row r="246">
      <c r="A246" s="16" t="inlineStr"/>
      <c r="B246" s="16" t="inlineStr"/>
      <c r="C246" s="16" t="inlineStr">
        <is>
          <t>Document</t>
        </is>
      </c>
      <c r="D246" s="16" t="inlineStr"/>
      <c r="E246" s="16" t="inlineStr"/>
      <c r="F246" s="16" t="inlineStr"/>
      <c r="G246" s="16" t="inlineStr">
        <is>
          <t>Not Started</t>
        </is>
      </c>
      <c r="H246" s="16" t="inlineStr">
        <is>
          <t>Not Reviewed</t>
        </is>
      </c>
      <c r="I246" s="16" t="inlineStr"/>
      <c r="J246" s="20" t="inlineStr"/>
      <c r="K246" s="20" t="inlineStr"/>
      <c r="L246" s="16" t="inlineStr"/>
      <c r="M246" s="16" t="inlineStr"/>
      <c r="N246" s="16" t="inlineStr">
        <is>
          <t>CUI</t>
        </is>
      </c>
      <c r="O246" s="16" t="inlineStr"/>
      <c r="P246" s="16" t="inlineStr"/>
    </row>
    <row r="247">
      <c r="A247" s="16" t="inlineStr"/>
      <c r="B247" s="16" t="inlineStr"/>
      <c r="C247" s="16" t="inlineStr">
        <is>
          <t>Document</t>
        </is>
      </c>
      <c r="D247" s="16" t="inlineStr"/>
      <c r="E247" s="16" t="inlineStr"/>
      <c r="F247" s="16" t="inlineStr"/>
      <c r="G247" s="16" t="inlineStr">
        <is>
          <t>Not Started</t>
        </is>
      </c>
      <c r="H247" s="16" t="inlineStr">
        <is>
          <t>Not Reviewed</t>
        </is>
      </c>
      <c r="I247" s="16" t="inlineStr"/>
      <c r="J247" s="20" t="inlineStr"/>
      <c r="K247" s="20" t="inlineStr"/>
      <c r="L247" s="16" t="inlineStr"/>
      <c r="M247" s="16" t="inlineStr"/>
      <c r="N247" s="16" t="inlineStr">
        <is>
          <t>CUI</t>
        </is>
      </c>
      <c r="O247" s="16" t="inlineStr"/>
      <c r="P247" s="16" t="inlineStr"/>
    </row>
    <row r="248">
      <c r="A248" s="16" t="inlineStr"/>
      <c r="B248" s="16" t="inlineStr"/>
      <c r="C248" s="16" t="inlineStr">
        <is>
          <t>Document</t>
        </is>
      </c>
      <c r="D248" s="16" t="inlineStr"/>
      <c r="E248" s="16" t="inlineStr"/>
      <c r="F248" s="16" t="inlineStr"/>
      <c r="G248" s="16" t="inlineStr">
        <is>
          <t>Not Started</t>
        </is>
      </c>
      <c r="H248" s="16" t="inlineStr">
        <is>
          <t>Not Reviewed</t>
        </is>
      </c>
      <c r="I248" s="16" t="inlineStr"/>
      <c r="J248" s="20" t="inlineStr"/>
      <c r="K248" s="20" t="inlineStr"/>
      <c r="L248" s="16" t="inlineStr"/>
      <c r="M248" s="16" t="inlineStr"/>
      <c r="N248" s="16" t="inlineStr">
        <is>
          <t>CUI</t>
        </is>
      </c>
      <c r="O248" s="16" t="inlineStr"/>
      <c r="P248" s="16" t="inlineStr"/>
    </row>
    <row r="249">
      <c r="A249" s="16" t="inlineStr"/>
      <c r="B249" s="16" t="inlineStr"/>
      <c r="C249" s="16" t="inlineStr">
        <is>
          <t>Document</t>
        </is>
      </c>
      <c r="D249" s="16" t="inlineStr"/>
      <c r="E249" s="16" t="inlineStr"/>
      <c r="F249" s="16" t="inlineStr"/>
      <c r="G249" s="16" t="inlineStr">
        <is>
          <t>Not Started</t>
        </is>
      </c>
      <c r="H249" s="16" t="inlineStr">
        <is>
          <t>Not Reviewed</t>
        </is>
      </c>
      <c r="I249" s="16" t="inlineStr"/>
      <c r="J249" s="20" t="inlineStr"/>
      <c r="K249" s="20" t="inlineStr"/>
      <c r="L249" s="16" t="inlineStr"/>
      <c r="M249" s="16" t="inlineStr"/>
      <c r="N249" s="16" t="inlineStr">
        <is>
          <t>CUI</t>
        </is>
      </c>
      <c r="O249" s="16" t="inlineStr"/>
      <c r="P249" s="16" t="inlineStr"/>
    </row>
    <row r="250">
      <c r="A250" s="16" t="inlineStr"/>
      <c r="B250" s="16" t="inlineStr"/>
      <c r="C250" s="16" t="inlineStr">
        <is>
          <t>Document</t>
        </is>
      </c>
      <c r="D250" s="16" t="inlineStr"/>
      <c r="E250" s="16" t="inlineStr"/>
      <c r="F250" s="16" t="inlineStr"/>
      <c r="G250" s="16" t="inlineStr">
        <is>
          <t>Not Started</t>
        </is>
      </c>
      <c r="H250" s="16" t="inlineStr">
        <is>
          <t>Not Reviewed</t>
        </is>
      </c>
      <c r="I250" s="16" t="inlineStr"/>
      <c r="J250" s="20" t="inlineStr"/>
      <c r="K250" s="20" t="inlineStr"/>
      <c r="L250" s="16" t="inlineStr"/>
      <c r="M250" s="16" t="inlineStr"/>
      <c r="N250" s="16" t="inlineStr">
        <is>
          <t>CUI</t>
        </is>
      </c>
      <c r="O250" s="16" t="inlineStr"/>
      <c r="P250" s="16" t="inlineStr"/>
    </row>
    <row r="251">
      <c r="A251" s="16" t="inlineStr"/>
      <c r="B251" s="16" t="inlineStr"/>
      <c r="C251" s="16" t="inlineStr">
        <is>
          <t>Document</t>
        </is>
      </c>
      <c r="D251" s="16" t="inlineStr"/>
      <c r="E251" s="16" t="inlineStr"/>
      <c r="F251" s="16" t="inlineStr"/>
      <c r="G251" s="16" t="inlineStr">
        <is>
          <t>Not Started</t>
        </is>
      </c>
      <c r="H251" s="16" t="inlineStr">
        <is>
          <t>Not Reviewed</t>
        </is>
      </c>
      <c r="I251" s="16" t="inlineStr"/>
      <c r="J251" s="20" t="inlineStr"/>
      <c r="K251" s="20" t="inlineStr"/>
      <c r="L251" s="16" t="inlineStr"/>
      <c r="M251" s="16" t="inlineStr"/>
      <c r="N251" s="16" t="inlineStr">
        <is>
          <t>CUI</t>
        </is>
      </c>
      <c r="O251" s="16" t="inlineStr"/>
      <c r="P251" s="16" t="inlineStr"/>
    </row>
    <row r="252">
      <c r="A252" s="16" t="inlineStr"/>
      <c r="B252" s="16" t="inlineStr"/>
      <c r="C252" s="16" t="inlineStr">
        <is>
          <t>Document</t>
        </is>
      </c>
      <c r="D252" s="16" t="inlineStr"/>
      <c r="E252" s="16" t="inlineStr"/>
      <c r="F252" s="16" t="inlineStr"/>
      <c r="G252" s="16" t="inlineStr">
        <is>
          <t>Not Started</t>
        </is>
      </c>
      <c r="H252" s="16" t="inlineStr">
        <is>
          <t>Not Reviewed</t>
        </is>
      </c>
      <c r="I252" s="16" t="inlineStr"/>
      <c r="J252" s="20" t="inlineStr"/>
      <c r="K252" s="20" t="inlineStr"/>
      <c r="L252" s="16" t="inlineStr"/>
      <c r="M252" s="16" t="inlineStr"/>
      <c r="N252" s="16" t="inlineStr">
        <is>
          <t>CUI</t>
        </is>
      </c>
      <c r="O252" s="16" t="inlineStr"/>
      <c r="P252" s="16" t="inlineStr"/>
    </row>
    <row r="253">
      <c r="A253" s="16" t="inlineStr"/>
      <c r="B253" s="16" t="inlineStr"/>
      <c r="C253" s="16" t="inlineStr">
        <is>
          <t>Document</t>
        </is>
      </c>
      <c r="D253" s="16" t="inlineStr"/>
      <c r="E253" s="16" t="inlineStr"/>
      <c r="F253" s="16" t="inlineStr"/>
      <c r="G253" s="16" t="inlineStr">
        <is>
          <t>Not Started</t>
        </is>
      </c>
      <c r="H253" s="16" t="inlineStr">
        <is>
          <t>Not Reviewed</t>
        </is>
      </c>
      <c r="I253" s="16" t="inlineStr"/>
      <c r="J253" s="20" t="inlineStr"/>
      <c r="K253" s="20" t="inlineStr"/>
      <c r="L253" s="16" t="inlineStr"/>
      <c r="M253" s="16" t="inlineStr"/>
      <c r="N253" s="16" t="inlineStr">
        <is>
          <t>CUI</t>
        </is>
      </c>
      <c r="O253" s="16" t="inlineStr"/>
      <c r="P253" s="16" t="inlineStr"/>
    </row>
    <row r="254">
      <c r="A254" s="16" t="inlineStr"/>
      <c r="B254" s="16" t="inlineStr"/>
      <c r="C254" s="16" t="inlineStr">
        <is>
          <t>Document</t>
        </is>
      </c>
      <c r="D254" s="16" t="inlineStr"/>
      <c r="E254" s="16" t="inlineStr"/>
      <c r="F254" s="16" t="inlineStr"/>
      <c r="G254" s="16" t="inlineStr">
        <is>
          <t>Not Started</t>
        </is>
      </c>
      <c r="H254" s="16" t="inlineStr">
        <is>
          <t>Not Reviewed</t>
        </is>
      </c>
      <c r="I254" s="16" t="inlineStr"/>
      <c r="J254" s="20" t="inlineStr"/>
      <c r="K254" s="20" t="inlineStr"/>
      <c r="L254" s="16" t="inlineStr"/>
      <c r="M254" s="16" t="inlineStr"/>
      <c r="N254" s="16" t="inlineStr">
        <is>
          <t>CUI</t>
        </is>
      </c>
      <c r="O254" s="16" t="inlineStr"/>
      <c r="P254" s="16" t="inlineStr"/>
    </row>
    <row r="255">
      <c r="A255" s="16" t="inlineStr"/>
      <c r="B255" s="16" t="inlineStr"/>
      <c r="C255" s="16" t="inlineStr">
        <is>
          <t>Document</t>
        </is>
      </c>
      <c r="D255" s="16" t="inlineStr"/>
      <c r="E255" s="16" t="inlineStr"/>
      <c r="F255" s="16" t="inlineStr"/>
      <c r="G255" s="16" t="inlineStr">
        <is>
          <t>Not Started</t>
        </is>
      </c>
      <c r="H255" s="16" t="inlineStr">
        <is>
          <t>Not Reviewed</t>
        </is>
      </c>
      <c r="I255" s="16" t="inlineStr"/>
      <c r="J255" s="20" t="inlineStr"/>
      <c r="K255" s="20" t="inlineStr"/>
      <c r="L255" s="16" t="inlineStr"/>
      <c r="M255" s="16" t="inlineStr"/>
      <c r="N255" s="16" t="inlineStr">
        <is>
          <t>CUI</t>
        </is>
      </c>
      <c r="O255" s="16" t="inlineStr"/>
      <c r="P255" s="16" t="inlineStr"/>
    </row>
    <row r="256">
      <c r="A256" s="16" t="inlineStr"/>
      <c r="B256" s="16" t="inlineStr"/>
      <c r="C256" s="16" t="inlineStr">
        <is>
          <t>Document</t>
        </is>
      </c>
      <c r="D256" s="16" t="inlineStr"/>
      <c r="E256" s="16" t="inlineStr"/>
      <c r="F256" s="16" t="inlineStr"/>
      <c r="G256" s="16" t="inlineStr">
        <is>
          <t>Not Started</t>
        </is>
      </c>
      <c r="H256" s="16" t="inlineStr">
        <is>
          <t>Not Reviewed</t>
        </is>
      </c>
      <c r="I256" s="16" t="inlineStr"/>
      <c r="J256" s="20" t="inlineStr"/>
      <c r="K256" s="20" t="inlineStr"/>
      <c r="L256" s="16" t="inlineStr"/>
      <c r="M256" s="16" t="inlineStr"/>
      <c r="N256" s="16" t="inlineStr">
        <is>
          <t>CUI</t>
        </is>
      </c>
      <c r="O256" s="16" t="inlineStr"/>
      <c r="P256" s="16" t="inlineStr"/>
    </row>
    <row r="257">
      <c r="A257" s="16" t="inlineStr"/>
      <c r="B257" s="16" t="inlineStr"/>
      <c r="C257" s="16" t="inlineStr">
        <is>
          <t>Document</t>
        </is>
      </c>
      <c r="D257" s="16" t="inlineStr"/>
      <c r="E257" s="16" t="inlineStr"/>
      <c r="F257" s="16" t="inlineStr"/>
      <c r="G257" s="16" t="inlineStr">
        <is>
          <t>Not Started</t>
        </is>
      </c>
      <c r="H257" s="16" t="inlineStr">
        <is>
          <t>Not Reviewed</t>
        </is>
      </c>
      <c r="I257" s="16" t="inlineStr"/>
      <c r="J257" s="20" t="inlineStr"/>
      <c r="K257" s="20" t="inlineStr"/>
      <c r="L257" s="16" t="inlineStr"/>
      <c r="M257" s="16" t="inlineStr"/>
      <c r="N257" s="16" t="inlineStr">
        <is>
          <t>CUI</t>
        </is>
      </c>
      <c r="O257" s="16" t="inlineStr"/>
      <c r="P257" s="16" t="inlineStr"/>
    </row>
    <row r="258">
      <c r="A258" s="16" t="inlineStr"/>
      <c r="B258" s="16" t="inlineStr"/>
      <c r="C258" s="16" t="inlineStr">
        <is>
          <t>Document</t>
        </is>
      </c>
      <c r="D258" s="16" t="inlineStr"/>
      <c r="E258" s="16" t="inlineStr"/>
      <c r="F258" s="16" t="inlineStr"/>
      <c r="G258" s="16" t="inlineStr">
        <is>
          <t>Not Started</t>
        </is>
      </c>
      <c r="H258" s="16" t="inlineStr">
        <is>
          <t>Not Reviewed</t>
        </is>
      </c>
      <c r="I258" s="16" t="inlineStr"/>
      <c r="J258" s="20" t="inlineStr"/>
      <c r="K258" s="20" t="inlineStr"/>
      <c r="L258" s="16" t="inlineStr"/>
      <c r="M258" s="16" t="inlineStr"/>
      <c r="N258" s="16" t="inlineStr">
        <is>
          <t>CUI</t>
        </is>
      </c>
      <c r="O258" s="16" t="inlineStr"/>
      <c r="P258" s="16" t="inlineStr"/>
    </row>
    <row r="259">
      <c r="A259" s="16" t="inlineStr"/>
      <c r="B259" s="16" t="inlineStr"/>
      <c r="C259" s="16" t="inlineStr">
        <is>
          <t>Document</t>
        </is>
      </c>
      <c r="D259" s="16" t="inlineStr"/>
      <c r="E259" s="16" t="inlineStr"/>
      <c r="F259" s="16" t="inlineStr"/>
      <c r="G259" s="16" t="inlineStr">
        <is>
          <t>Not Started</t>
        </is>
      </c>
      <c r="H259" s="16" t="inlineStr">
        <is>
          <t>Not Reviewed</t>
        </is>
      </c>
      <c r="I259" s="16" t="inlineStr"/>
      <c r="J259" s="20" t="inlineStr"/>
      <c r="K259" s="20" t="inlineStr"/>
      <c r="L259" s="16" t="inlineStr"/>
      <c r="M259" s="16" t="inlineStr"/>
      <c r="N259" s="16" t="inlineStr">
        <is>
          <t>CUI</t>
        </is>
      </c>
      <c r="O259" s="16" t="inlineStr"/>
      <c r="P259" s="16" t="inlineStr"/>
    </row>
    <row r="260">
      <c r="A260" s="16" t="inlineStr"/>
      <c r="B260" s="16" t="inlineStr"/>
      <c r="C260" s="16" t="inlineStr">
        <is>
          <t>Document</t>
        </is>
      </c>
      <c r="D260" s="16" t="inlineStr"/>
      <c r="E260" s="16" t="inlineStr"/>
      <c r="F260" s="16" t="inlineStr"/>
      <c r="G260" s="16" t="inlineStr">
        <is>
          <t>Not Started</t>
        </is>
      </c>
      <c r="H260" s="16" t="inlineStr">
        <is>
          <t>Not Reviewed</t>
        </is>
      </c>
      <c r="I260" s="16" t="inlineStr"/>
      <c r="J260" s="20" t="inlineStr"/>
      <c r="K260" s="20" t="inlineStr"/>
      <c r="L260" s="16" t="inlineStr"/>
      <c r="M260" s="16" t="inlineStr"/>
      <c r="N260" s="16" t="inlineStr">
        <is>
          <t>CUI</t>
        </is>
      </c>
      <c r="O260" s="16" t="inlineStr"/>
      <c r="P260" s="16" t="inlineStr"/>
    </row>
    <row r="261">
      <c r="A261" s="16" t="inlineStr"/>
      <c r="B261" s="16" t="inlineStr"/>
      <c r="C261" s="16" t="inlineStr">
        <is>
          <t>Document</t>
        </is>
      </c>
      <c r="D261" s="16" t="inlineStr"/>
      <c r="E261" s="16" t="inlineStr"/>
      <c r="F261" s="16" t="inlineStr"/>
      <c r="G261" s="16" t="inlineStr">
        <is>
          <t>Not Started</t>
        </is>
      </c>
      <c r="H261" s="16" t="inlineStr">
        <is>
          <t>Not Reviewed</t>
        </is>
      </c>
      <c r="I261" s="16" t="inlineStr"/>
      <c r="J261" s="20" t="inlineStr"/>
      <c r="K261" s="20" t="inlineStr"/>
      <c r="L261" s="16" t="inlineStr"/>
      <c r="M261" s="16" t="inlineStr"/>
      <c r="N261" s="16" t="inlineStr">
        <is>
          <t>CUI</t>
        </is>
      </c>
      <c r="O261" s="16" t="inlineStr"/>
      <c r="P261" s="16" t="inlineStr"/>
    </row>
    <row r="262">
      <c r="A262" s="16" t="inlineStr"/>
      <c r="B262" s="16" t="inlineStr"/>
      <c r="C262" s="16" t="inlineStr">
        <is>
          <t>Document</t>
        </is>
      </c>
      <c r="D262" s="16" t="inlineStr"/>
      <c r="E262" s="16" t="inlineStr"/>
      <c r="F262" s="16" t="inlineStr"/>
      <c r="G262" s="16" t="inlineStr">
        <is>
          <t>Not Started</t>
        </is>
      </c>
      <c r="H262" s="16" t="inlineStr">
        <is>
          <t>Not Reviewed</t>
        </is>
      </c>
      <c r="I262" s="16" t="inlineStr"/>
      <c r="J262" s="20" t="inlineStr"/>
      <c r="K262" s="20" t="inlineStr"/>
      <c r="L262" s="16" t="inlineStr"/>
      <c r="M262" s="16" t="inlineStr"/>
      <c r="N262" s="16" t="inlineStr">
        <is>
          <t>CUI</t>
        </is>
      </c>
      <c r="O262" s="16" t="inlineStr"/>
      <c r="P262" s="16" t="inlineStr"/>
    </row>
    <row r="263">
      <c r="A263" s="16" t="inlineStr"/>
      <c r="B263" s="16" t="inlineStr"/>
      <c r="C263" s="16" t="inlineStr">
        <is>
          <t>Document</t>
        </is>
      </c>
      <c r="D263" s="16" t="inlineStr"/>
      <c r="E263" s="16" t="inlineStr"/>
      <c r="F263" s="16" t="inlineStr"/>
      <c r="G263" s="16" t="inlineStr">
        <is>
          <t>Not Started</t>
        </is>
      </c>
      <c r="H263" s="16" t="inlineStr">
        <is>
          <t>Not Reviewed</t>
        </is>
      </c>
      <c r="I263" s="16" t="inlineStr"/>
      <c r="J263" s="20" t="inlineStr"/>
      <c r="K263" s="20" t="inlineStr"/>
      <c r="L263" s="16" t="inlineStr"/>
      <c r="M263" s="16" t="inlineStr"/>
      <c r="N263" s="16" t="inlineStr">
        <is>
          <t>CUI</t>
        </is>
      </c>
      <c r="O263" s="16" t="inlineStr"/>
      <c r="P263" s="16" t="inlineStr"/>
    </row>
    <row r="264">
      <c r="A264" s="16" t="inlineStr"/>
      <c r="B264" s="16" t="inlineStr"/>
      <c r="C264" s="16" t="inlineStr">
        <is>
          <t>Document</t>
        </is>
      </c>
      <c r="D264" s="16" t="inlineStr"/>
      <c r="E264" s="16" t="inlineStr"/>
      <c r="F264" s="16" t="inlineStr"/>
      <c r="G264" s="16" t="inlineStr">
        <is>
          <t>Not Started</t>
        </is>
      </c>
      <c r="H264" s="16" t="inlineStr">
        <is>
          <t>Not Reviewed</t>
        </is>
      </c>
      <c r="I264" s="16" t="inlineStr"/>
      <c r="J264" s="20" t="inlineStr"/>
      <c r="K264" s="20" t="inlineStr"/>
      <c r="L264" s="16" t="inlineStr"/>
      <c r="M264" s="16" t="inlineStr"/>
      <c r="N264" s="16" t="inlineStr">
        <is>
          <t>CUI</t>
        </is>
      </c>
      <c r="O264" s="16" t="inlineStr"/>
      <c r="P264" s="16" t="inlineStr"/>
    </row>
    <row r="265">
      <c r="A265" s="16" t="inlineStr"/>
      <c r="B265" s="16" t="inlineStr"/>
      <c r="C265" s="16" t="inlineStr">
        <is>
          <t>Document</t>
        </is>
      </c>
      <c r="D265" s="16" t="inlineStr"/>
      <c r="E265" s="16" t="inlineStr"/>
      <c r="F265" s="16" t="inlineStr"/>
      <c r="G265" s="16" t="inlineStr">
        <is>
          <t>Not Started</t>
        </is>
      </c>
      <c r="H265" s="16" t="inlineStr">
        <is>
          <t>Not Reviewed</t>
        </is>
      </c>
      <c r="I265" s="16" t="inlineStr"/>
      <c r="J265" s="20" t="inlineStr"/>
      <c r="K265" s="20" t="inlineStr"/>
      <c r="L265" s="16" t="inlineStr"/>
      <c r="M265" s="16" t="inlineStr"/>
      <c r="N265" s="16" t="inlineStr">
        <is>
          <t>CUI</t>
        </is>
      </c>
      <c r="O265" s="16" t="inlineStr"/>
      <c r="P265" s="16" t="inlineStr"/>
    </row>
    <row r="266">
      <c r="A266" s="16" t="inlineStr"/>
      <c r="B266" s="16" t="inlineStr"/>
      <c r="C266" s="16" t="inlineStr">
        <is>
          <t>Document</t>
        </is>
      </c>
      <c r="D266" s="16" t="inlineStr"/>
      <c r="E266" s="16" t="inlineStr"/>
      <c r="F266" s="16" t="inlineStr"/>
      <c r="G266" s="16" t="inlineStr">
        <is>
          <t>Not Started</t>
        </is>
      </c>
      <c r="H266" s="16" t="inlineStr">
        <is>
          <t>Not Reviewed</t>
        </is>
      </c>
      <c r="I266" s="16" t="inlineStr"/>
      <c r="J266" s="20" t="inlineStr"/>
      <c r="K266" s="20" t="inlineStr"/>
      <c r="L266" s="16" t="inlineStr"/>
      <c r="M266" s="16" t="inlineStr"/>
      <c r="N266" s="16" t="inlineStr">
        <is>
          <t>CUI</t>
        </is>
      </c>
      <c r="O266" s="16" t="inlineStr"/>
      <c r="P266" s="16" t="inlineStr"/>
    </row>
    <row r="267">
      <c r="A267" s="16" t="inlineStr"/>
      <c r="B267" s="16" t="inlineStr"/>
      <c r="C267" s="16" t="inlineStr">
        <is>
          <t>Document</t>
        </is>
      </c>
      <c r="D267" s="16" t="inlineStr"/>
      <c r="E267" s="16" t="inlineStr"/>
      <c r="F267" s="16" t="inlineStr"/>
      <c r="G267" s="16" t="inlineStr">
        <is>
          <t>Not Started</t>
        </is>
      </c>
      <c r="H267" s="16" t="inlineStr">
        <is>
          <t>Not Reviewed</t>
        </is>
      </c>
      <c r="I267" s="16" t="inlineStr"/>
      <c r="J267" s="20" t="inlineStr"/>
      <c r="K267" s="20" t="inlineStr"/>
      <c r="L267" s="16" t="inlineStr"/>
      <c r="M267" s="16" t="inlineStr"/>
      <c r="N267" s="16" t="inlineStr">
        <is>
          <t>CUI</t>
        </is>
      </c>
      <c r="O267" s="16" t="inlineStr"/>
      <c r="P267" s="16" t="inlineStr"/>
    </row>
    <row r="268">
      <c r="A268" s="16" t="inlineStr"/>
      <c r="B268" s="16" t="inlineStr"/>
      <c r="C268" s="16" t="inlineStr">
        <is>
          <t>Document</t>
        </is>
      </c>
      <c r="D268" s="16" t="inlineStr"/>
      <c r="E268" s="16" t="inlineStr"/>
      <c r="F268" s="16" t="inlineStr"/>
      <c r="G268" s="16" t="inlineStr">
        <is>
          <t>Not Started</t>
        </is>
      </c>
      <c r="H268" s="16" t="inlineStr">
        <is>
          <t>Not Reviewed</t>
        </is>
      </c>
      <c r="I268" s="16" t="inlineStr"/>
      <c r="J268" s="20" t="inlineStr"/>
      <c r="K268" s="20" t="inlineStr"/>
      <c r="L268" s="16" t="inlineStr"/>
      <c r="M268" s="16" t="inlineStr"/>
      <c r="N268" s="16" t="inlineStr">
        <is>
          <t>CUI</t>
        </is>
      </c>
      <c r="O268" s="16" t="inlineStr"/>
      <c r="P268" s="16" t="inlineStr"/>
    </row>
    <row r="269">
      <c r="A269" s="16" t="inlineStr"/>
      <c r="B269" s="16" t="inlineStr"/>
      <c r="C269" s="16" t="inlineStr">
        <is>
          <t>Document</t>
        </is>
      </c>
      <c r="D269" s="16" t="inlineStr"/>
      <c r="E269" s="16" t="inlineStr"/>
      <c r="F269" s="16" t="inlineStr"/>
      <c r="G269" s="16" t="inlineStr">
        <is>
          <t>Not Started</t>
        </is>
      </c>
      <c r="H269" s="16" t="inlineStr">
        <is>
          <t>Not Reviewed</t>
        </is>
      </c>
      <c r="I269" s="16" t="inlineStr"/>
      <c r="J269" s="20" t="inlineStr"/>
      <c r="K269" s="20" t="inlineStr"/>
      <c r="L269" s="16" t="inlineStr"/>
      <c r="M269" s="16" t="inlineStr"/>
      <c r="N269" s="16" t="inlineStr">
        <is>
          <t>CUI</t>
        </is>
      </c>
      <c r="O269" s="16" t="inlineStr"/>
      <c r="P269" s="16" t="inlineStr"/>
    </row>
    <row r="270">
      <c r="A270" s="16" t="inlineStr"/>
      <c r="B270" s="16" t="inlineStr"/>
      <c r="C270" s="16" t="inlineStr">
        <is>
          <t>Document</t>
        </is>
      </c>
      <c r="D270" s="16" t="inlineStr"/>
      <c r="E270" s="16" t="inlineStr"/>
      <c r="F270" s="16" t="inlineStr"/>
      <c r="G270" s="16" t="inlineStr">
        <is>
          <t>Not Started</t>
        </is>
      </c>
      <c r="H270" s="16" t="inlineStr">
        <is>
          <t>Not Reviewed</t>
        </is>
      </c>
      <c r="I270" s="16" t="inlineStr"/>
      <c r="J270" s="20" t="inlineStr"/>
      <c r="K270" s="20" t="inlineStr"/>
      <c r="L270" s="16" t="inlineStr"/>
      <c r="M270" s="16" t="inlineStr"/>
      <c r="N270" s="16" t="inlineStr">
        <is>
          <t>CUI</t>
        </is>
      </c>
      <c r="O270" s="16" t="inlineStr"/>
      <c r="P270" s="16" t="inlineStr"/>
    </row>
    <row r="271">
      <c r="A271" s="16" t="inlineStr"/>
      <c r="B271" s="16" t="inlineStr"/>
      <c r="C271" s="16" t="inlineStr">
        <is>
          <t>Document</t>
        </is>
      </c>
      <c r="D271" s="16" t="inlineStr"/>
      <c r="E271" s="16" t="inlineStr"/>
      <c r="F271" s="16" t="inlineStr"/>
      <c r="G271" s="16" t="inlineStr">
        <is>
          <t>Not Started</t>
        </is>
      </c>
      <c r="H271" s="16" t="inlineStr">
        <is>
          <t>Not Reviewed</t>
        </is>
      </c>
      <c r="I271" s="16" t="inlineStr"/>
      <c r="J271" s="20" t="inlineStr"/>
      <c r="K271" s="20" t="inlineStr"/>
      <c r="L271" s="16" t="inlineStr"/>
      <c r="M271" s="16" t="inlineStr"/>
      <c r="N271" s="16" t="inlineStr">
        <is>
          <t>CUI</t>
        </is>
      </c>
      <c r="O271" s="16" t="inlineStr"/>
      <c r="P271" s="16" t="inlineStr"/>
    </row>
    <row r="272">
      <c r="A272" s="16" t="inlineStr"/>
      <c r="B272" s="16" t="inlineStr"/>
      <c r="C272" s="16" t="inlineStr">
        <is>
          <t>Document</t>
        </is>
      </c>
      <c r="D272" s="16" t="inlineStr"/>
      <c r="E272" s="16" t="inlineStr"/>
      <c r="F272" s="16" t="inlineStr"/>
      <c r="G272" s="16" t="inlineStr">
        <is>
          <t>Not Started</t>
        </is>
      </c>
      <c r="H272" s="16" t="inlineStr">
        <is>
          <t>Not Reviewed</t>
        </is>
      </c>
      <c r="I272" s="16" t="inlineStr"/>
      <c r="J272" s="20" t="inlineStr"/>
      <c r="K272" s="20" t="inlineStr"/>
      <c r="L272" s="16" t="inlineStr"/>
      <c r="M272" s="16" t="inlineStr"/>
      <c r="N272" s="16" t="inlineStr">
        <is>
          <t>CUI</t>
        </is>
      </c>
      <c r="O272" s="16" t="inlineStr"/>
      <c r="P272" s="16" t="inlineStr"/>
    </row>
    <row r="273">
      <c r="A273" s="16" t="inlineStr"/>
      <c r="B273" s="16" t="inlineStr"/>
      <c r="C273" s="16" t="inlineStr">
        <is>
          <t>Document</t>
        </is>
      </c>
      <c r="D273" s="16" t="inlineStr"/>
      <c r="E273" s="16" t="inlineStr"/>
      <c r="F273" s="16" t="inlineStr"/>
      <c r="G273" s="16" t="inlineStr">
        <is>
          <t>Not Started</t>
        </is>
      </c>
      <c r="H273" s="16" t="inlineStr">
        <is>
          <t>Not Reviewed</t>
        </is>
      </c>
      <c r="I273" s="16" t="inlineStr"/>
      <c r="J273" s="20" t="inlineStr"/>
      <c r="K273" s="20" t="inlineStr"/>
      <c r="L273" s="16" t="inlineStr"/>
      <c r="M273" s="16" t="inlineStr"/>
      <c r="N273" s="16" t="inlineStr">
        <is>
          <t>CUI</t>
        </is>
      </c>
      <c r="O273" s="16" t="inlineStr"/>
      <c r="P273" s="16" t="inlineStr"/>
    </row>
    <row r="274">
      <c r="A274" s="16" t="inlineStr"/>
      <c r="B274" s="16" t="inlineStr"/>
      <c r="C274" s="16" t="inlineStr">
        <is>
          <t>Document</t>
        </is>
      </c>
      <c r="D274" s="16" t="inlineStr"/>
      <c r="E274" s="16" t="inlineStr"/>
      <c r="F274" s="16" t="inlineStr"/>
      <c r="G274" s="16" t="inlineStr">
        <is>
          <t>Not Started</t>
        </is>
      </c>
      <c r="H274" s="16" t="inlineStr">
        <is>
          <t>Not Reviewed</t>
        </is>
      </c>
      <c r="I274" s="16" t="inlineStr"/>
      <c r="J274" s="20" t="inlineStr"/>
      <c r="K274" s="20" t="inlineStr"/>
      <c r="L274" s="16" t="inlineStr"/>
      <c r="M274" s="16" t="inlineStr"/>
      <c r="N274" s="16" t="inlineStr">
        <is>
          <t>CUI</t>
        </is>
      </c>
      <c r="O274" s="16" t="inlineStr"/>
      <c r="P274" s="16" t="inlineStr"/>
    </row>
    <row r="275">
      <c r="A275" s="16" t="inlineStr"/>
      <c r="B275" s="16" t="inlineStr"/>
      <c r="C275" s="16" t="inlineStr">
        <is>
          <t>Document</t>
        </is>
      </c>
      <c r="D275" s="16" t="inlineStr"/>
      <c r="E275" s="16" t="inlineStr"/>
      <c r="F275" s="16" t="inlineStr"/>
      <c r="G275" s="16" t="inlineStr">
        <is>
          <t>Not Started</t>
        </is>
      </c>
      <c r="H275" s="16" t="inlineStr">
        <is>
          <t>Not Reviewed</t>
        </is>
      </c>
      <c r="I275" s="16" t="inlineStr"/>
      <c r="J275" s="20" t="inlineStr"/>
      <c r="K275" s="20" t="inlineStr"/>
      <c r="L275" s="16" t="inlineStr"/>
      <c r="M275" s="16" t="inlineStr"/>
      <c r="N275" s="16" t="inlineStr">
        <is>
          <t>CUI</t>
        </is>
      </c>
      <c r="O275" s="16" t="inlineStr"/>
      <c r="P275" s="16" t="inlineStr"/>
    </row>
    <row r="276">
      <c r="A276" s="16" t="inlineStr"/>
      <c r="B276" s="16" t="inlineStr"/>
      <c r="C276" s="16" t="inlineStr">
        <is>
          <t>Document</t>
        </is>
      </c>
      <c r="D276" s="16" t="inlineStr"/>
      <c r="E276" s="16" t="inlineStr"/>
      <c r="F276" s="16" t="inlineStr"/>
      <c r="G276" s="16" t="inlineStr">
        <is>
          <t>Not Started</t>
        </is>
      </c>
      <c r="H276" s="16" t="inlineStr">
        <is>
          <t>Not Reviewed</t>
        </is>
      </c>
      <c r="I276" s="16" t="inlineStr"/>
      <c r="J276" s="20" t="inlineStr"/>
      <c r="K276" s="20" t="inlineStr"/>
      <c r="L276" s="16" t="inlineStr"/>
      <c r="M276" s="16" t="inlineStr"/>
      <c r="N276" s="16" t="inlineStr">
        <is>
          <t>CUI</t>
        </is>
      </c>
      <c r="O276" s="16" t="inlineStr"/>
      <c r="P276" s="16" t="inlineStr"/>
    </row>
    <row r="277">
      <c r="A277" s="16" t="inlineStr"/>
      <c r="B277" s="16" t="inlineStr"/>
      <c r="C277" s="16" t="inlineStr">
        <is>
          <t>Document</t>
        </is>
      </c>
      <c r="D277" s="16" t="inlineStr"/>
      <c r="E277" s="16" t="inlineStr"/>
      <c r="F277" s="16" t="inlineStr"/>
      <c r="G277" s="16" t="inlineStr">
        <is>
          <t>Not Started</t>
        </is>
      </c>
      <c r="H277" s="16" t="inlineStr">
        <is>
          <t>Not Reviewed</t>
        </is>
      </c>
      <c r="I277" s="16" t="inlineStr"/>
      <c r="J277" s="20" t="inlineStr"/>
      <c r="K277" s="20" t="inlineStr"/>
      <c r="L277" s="16" t="inlineStr"/>
      <c r="M277" s="16" t="inlineStr"/>
      <c r="N277" s="16" t="inlineStr">
        <is>
          <t>CUI</t>
        </is>
      </c>
      <c r="O277" s="16" t="inlineStr"/>
      <c r="P277" s="16" t="inlineStr"/>
    </row>
    <row r="278">
      <c r="A278" s="16" t="inlineStr"/>
      <c r="B278" s="16" t="inlineStr"/>
      <c r="C278" s="16" t="inlineStr">
        <is>
          <t>Document</t>
        </is>
      </c>
      <c r="D278" s="16" t="inlineStr"/>
      <c r="E278" s="16" t="inlineStr"/>
      <c r="F278" s="16" t="inlineStr"/>
      <c r="G278" s="16" t="inlineStr">
        <is>
          <t>Not Started</t>
        </is>
      </c>
      <c r="H278" s="16" t="inlineStr">
        <is>
          <t>Not Reviewed</t>
        </is>
      </c>
      <c r="I278" s="16" t="inlineStr"/>
      <c r="J278" s="20" t="inlineStr"/>
      <c r="K278" s="20" t="inlineStr"/>
      <c r="L278" s="16" t="inlineStr"/>
      <c r="M278" s="16" t="inlineStr"/>
      <c r="N278" s="16" t="inlineStr">
        <is>
          <t>CUI</t>
        </is>
      </c>
      <c r="O278" s="16" t="inlineStr"/>
      <c r="P278" s="16" t="inlineStr"/>
    </row>
    <row r="279">
      <c r="A279" s="16" t="inlineStr"/>
      <c r="B279" s="16" t="inlineStr"/>
      <c r="C279" s="16" t="inlineStr">
        <is>
          <t>Document</t>
        </is>
      </c>
      <c r="D279" s="16" t="inlineStr"/>
      <c r="E279" s="16" t="inlineStr"/>
      <c r="F279" s="16" t="inlineStr"/>
      <c r="G279" s="16" t="inlineStr">
        <is>
          <t>Not Started</t>
        </is>
      </c>
      <c r="H279" s="16" t="inlineStr">
        <is>
          <t>Not Reviewed</t>
        </is>
      </c>
      <c r="I279" s="16" t="inlineStr"/>
      <c r="J279" s="20" t="inlineStr"/>
      <c r="K279" s="20" t="inlineStr"/>
      <c r="L279" s="16" t="inlineStr"/>
      <c r="M279" s="16" t="inlineStr"/>
      <c r="N279" s="16" t="inlineStr">
        <is>
          <t>CUI</t>
        </is>
      </c>
      <c r="O279" s="16" t="inlineStr"/>
      <c r="P279" s="16" t="inlineStr"/>
    </row>
    <row r="280">
      <c r="A280" s="16" t="inlineStr"/>
      <c r="B280" s="16" t="inlineStr"/>
      <c r="C280" s="16" t="inlineStr">
        <is>
          <t>Document</t>
        </is>
      </c>
      <c r="D280" s="16" t="inlineStr"/>
      <c r="E280" s="16" t="inlineStr"/>
      <c r="F280" s="16" t="inlineStr"/>
      <c r="G280" s="16" t="inlineStr">
        <is>
          <t>Not Started</t>
        </is>
      </c>
      <c r="H280" s="16" t="inlineStr">
        <is>
          <t>Not Reviewed</t>
        </is>
      </c>
      <c r="I280" s="16" t="inlineStr"/>
      <c r="J280" s="20" t="inlineStr"/>
      <c r="K280" s="20" t="inlineStr"/>
      <c r="L280" s="16" t="inlineStr"/>
      <c r="M280" s="16" t="inlineStr"/>
      <c r="N280" s="16" t="inlineStr">
        <is>
          <t>CUI</t>
        </is>
      </c>
      <c r="O280" s="16" t="inlineStr"/>
      <c r="P280" s="16" t="inlineStr"/>
    </row>
    <row r="281">
      <c r="A281" s="16" t="inlineStr"/>
      <c r="B281" s="16" t="inlineStr"/>
      <c r="C281" s="16" t="inlineStr">
        <is>
          <t>Document</t>
        </is>
      </c>
      <c r="D281" s="16" t="inlineStr"/>
      <c r="E281" s="16" t="inlineStr"/>
      <c r="F281" s="16" t="inlineStr"/>
      <c r="G281" s="16" t="inlineStr">
        <is>
          <t>Not Started</t>
        </is>
      </c>
      <c r="H281" s="16" t="inlineStr">
        <is>
          <t>Not Reviewed</t>
        </is>
      </c>
      <c r="I281" s="16" t="inlineStr"/>
      <c r="J281" s="20" t="inlineStr"/>
      <c r="K281" s="20" t="inlineStr"/>
      <c r="L281" s="16" t="inlineStr"/>
      <c r="M281" s="16" t="inlineStr"/>
      <c r="N281" s="16" t="inlineStr">
        <is>
          <t>CUI</t>
        </is>
      </c>
      <c r="O281" s="16" t="inlineStr"/>
      <c r="P281" s="16" t="inlineStr"/>
    </row>
    <row r="282">
      <c r="A282" s="16" t="inlineStr"/>
      <c r="B282" s="16" t="inlineStr"/>
      <c r="C282" s="16" t="inlineStr">
        <is>
          <t>Document</t>
        </is>
      </c>
      <c r="D282" s="16" t="inlineStr"/>
      <c r="E282" s="16" t="inlineStr"/>
      <c r="F282" s="16" t="inlineStr"/>
      <c r="G282" s="16" t="inlineStr">
        <is>
          <t>Not Started</t>
        </is>
      </c>
      <c r="H282" s="16" t="inlineStr">
        <is>
          <t>Not Reviewed</t>
        </is>
      </c>
      <c r="I282" s="16" t="inlineStr"/>
      <c r="J282" s="20" t="inlineStr"/>
      <c r="K282" s="20" t="inlineStr"/>
      <c r="L282" s="16" t="inlineStr"/>
      <c r="M282" s="16" t="inlineStr"/>
      <c r="N282" s="16" t="inlineStr">
        <is>
          <t>CUI</t>
        </is>
      </c>
      <c r="O282" s="16" t="inlineStr"/>
      <c r="P282" s="16" t="inlineStr"/>
    </row>
    <row r="283">
      <c r="A283" s="16" t="inlineStr"/>
      <c r="B283" s="16" t="inlineStr"/>
      <c r="C283" s="16" t="inlineStr">
        <is>
          <t>Document</t>
        </is>
      </c>
      <c r="D283" s="16" t="inlineStr"/>
      <c r="E283" s="16" t="inlineStr"/>
      <c r="F283" s="16" t="inlineStr"/>
      <c r="G283" s="16" t="inlineStr">
        <is>
          <t>Not Started</t>
        </is>
      </c>
      <c r="H283" s="16" t="inlineStr">
        <is>
          <t>Not Reviewed</t>
        </is>
      </c>
      <c r="I283" s="16" t="inlineStr"/>
      <c r="J283" s="20" t="inlineStr"/>
      <c r="K283" s="20" t="inlineStr"/>
      <c r="L283" s="16" t="inlineStr"/>
      <c r="M283" s="16" t="inlineStr"/>
      <c r="N283" s="16" t="inlineStr">
        <is>
          <t>CUI</t>
        </is>
      </c>
      <c r="O283" s="16" t="inlineStr"/>
      <c r="P283" s="16" t="inlineStr"/>
    </row>
    <row r="284">
      <c r="A284" s="16" t="inlineStr"/>
      <c r="B284" s="16" t="inlineStr"/>
      <c r="C284" s="16" t="inlineStr">
        <is>
          <t>Document</t>
        </is>
      </c>
      <c r="D284" s="16" t="inlineStr"/>
      <c r="E284" s="16" t="inlineStr"/>
      <c r="F284" s="16" t="inlineStr"/>
      <c r="G284" s="16" t="inlineStr">
        <is>
          <t>Not Started</t>
        </is>
      </c>
      <c r="H284" s="16" t="inlineStr">
        <is>
          <t>Not Reviewed</t>
        </is>
      </c>
      <c r="I284" s="16" t="inlineStr"/>
      <c r="J284" s="20" t="inlineStr"/>
      <c r="K284" s="20" t="inlineStr"/>
      <c r="L284" s="16" t="inlineStr"/>
      <c r="M284" s="16" t="inlineStr"/>
      <c r="N284" s="16" t="inlineStr">
        <is>
          <t>CUI</t>
        </is>
      </c>
      <c r="O284" s="16" t="inlineStr"/>
      <c r="P284" s="16" t="inlineStr"/>
    </row>
    <row r="285">
      <c r="A285" s="16" t="inlineStr"/>
      <c r="B285" s="16" t="inlineStr"/>
      <c r="C285" s="16" t="inlineStr">
        <is>
          <t>Document</t>
        </is>
      </c>
      <c r="D285" s="16" t="inlineStr"/>
      <c r="E285" s="16" t="inlineStr"/>
      <c r="F285" s="16" t="inlineStr"/>
      <c r="G285" s="16" t="inlineStr">
        <is>
          <t>Not Started</t>
        </is>
      </c>
      <c r="H285" s="16" t="inlineStr">
        <is>
          <t>Not Reviewed</t>
        </is>
      </c>
      <c r="I285" s="16" t="inlineStr"/>
      <c r="J285" s="20" t="inlineStr"/>
      <c r="K285" s="20" t="inlineStr"/>
      <c r="L285" s="16" t="inlineStr"/>
      <c r="M285" s="16" t="inlineStr"/>
      <c r="N285" s="16" t="inlineStr">
        <is>
          <t>CUI</t>
        </is>
      </c>
      <c r="O285" s="16" t="inlineStr"/>
      <c r="P285" s="16" t="inlineStr"/>
    </row>
    <row r="286">
      <c r="A286" s="16" t="inlineStr"/>
      <c r="B286" s="16" t="inlineStr"/>
      <c r="C286" s="16" t="inlineStr">
        <is>
          <t>Document</t>
        </is>
      </c>
      <c r="D286" s="16" t="inlineStr"/>
      <c r="E286" s="16" t="inlineStr"/>
      <c r="F286" s="16" t="inlineStr"/>
      <c r="G286" s="16" t="inlineStr">
        <is>
          <t>Not Started</t>
        </is>
      </c>
      <c r="H286" s="16" t="inlineStr">
        <is>
          <t>Not Reviewed</t>
        </is>
      </c>
      <c r="I286" s="16" t="inlineStr"/>
      <c r="J286" s="20" t="inlineStr"/>
      <c r="K286" s="20" t="inlineStr"/>
      <c r="L286" s="16" t="inlineStr"/>
      <c r="M286" s="16" t="inlineStr"/>
      <c r="N286" s="16" t="inlineStr">
        <is>
          <t>CUI</t>
        </is>
      </c>
      <c r="O286" s="16" t="inlineStr"/>
      <c r="P286" s="16" t="inlineStr"/>
    </row>
    <row r="287">
      <c r="A287" s="16" t="inlineStr"/>
      <c r="B287" s="16" t="inlineStr"/>
      <c r="C287" s="16" t="inlineStr">
        <is>
          <t>Document</t>
        </is>
      </c>
      <c r="D287" s="16" t="inlineStr"/>
      <c r="E287" s="16" t="inlineStr"/>
      <c r="F287" s="16" t="inlineStr"/>
      <c r="G287" s="16" t="inlineStr">
        <is>
          <t>Not Started</t>
        </is>
      </c>
      <c r="H287" s="16" t="inlineStr">
        <is>
          <t>Not Reviewed</t>
        </is>
      </c>
      <c r="I287" s="16" t="inlineStr"/>
      <c r="J287" s="20" t="inlineStr"/>
      <c r="K287" s="20" t="inlineStr"/>
      <c r="L287" s="16" t="inlineStr"/>
      <c r="M287" s="16" t="inlineStr"/>
      <c r="N287" s="16" t="inlineStr">
        <is>
          <t>CUI</t>
        </is>
      </c>
      <c r="O287" s="16" t="inlineStr"/>
      <c r="P287" s="16" t="inlineStr"/>
    </row>
    <row r="288">
      <c r="A288" s="16" t="inlineStr"/>
      <c r="B288" s="16" t="inlineStr"/>
      <c r="C288" s="16" t="inlineStr">
        <is>
          <t>Document</t>
        </is>
      </c>
      <c r="D288" s="16" t="inlineStr"/>
      <c r="E288" s="16" t="inlineStr"/>
      <c r="F288" s="16" t="inlineStr"/>
      <c r="G288" s="16" t="inlineStr">
        <is>
          <t>Not Started</t>
        </is>
      </c>
      <c r="H288" s="16" t="inlineStr">
        <is>
          <t>Not Reviewed</t>
        </is>
      </c>
      <c r="I288" s="16" t="inlineStr"/>
      <c r="J288" s="20" t="inlineStr"/>
      <c r="K288" s="20" t="inlineStr"/>
      <c r="L288" s="16" t="inlineStr"/>
      <c r="M288" s="16" t="inlineStr"/>
      <c r="N288" s="16" t="inlineStr">
        <is>
          <t>CUI</t>
        </is>
      </c>
      <c r="O288" s="16" t="inlineStr"/>
      <c r="P288" s="16" t="inlineStr"/>
    </row>
    <row r="289">
      <c r="A289" s="16" t="inlineStr"/>
      <c r="B289" s="16" t="inlineStr"/>
      <c r="C289" s="16" t="inlineStr">
        <is>
          <t>Document</t>
        </is>
      </c>
      <c r="D289" s="16" t="inlineStr"/>
      <c r="E289" s="16" t="inlineStr"/>
      <c r="F289" s="16" t="inlineStr"/>
      <c r="G289" s="16" t="inlineStr">
        <is>
          <t>Not Started</t>
        </is>
      </c>
      <c r="H289" s="16" t="inlineStr">
        <is>
          <t>Not Reviewed</t>
        </is>
      </c>
      <c r="I289" s="16" t="inlineStr"/>
      <c r="J289" s="20" t="inlineStr"/>
      <c r="K289" s="20" t="inlineStr"/>
      <c r="L289" s="16" t="inlineStr"/>
      <c r="M289" s="16" t="inlineStr"/>
      <c r="N289" s="16" t="inlineStr">
        <is>
          <t>CUI</t>
        </is>
      </c>
      <c r="O289" s="16" t="inlineStr"/>
      <c r="P289" s="16" t="inlineStr"/>
    </row>
    <row r="290">
      <c r="A290" s="16" t="inlineStr"/>
      <c r="B290" s="16" t="inlineStr"/>
      <c r="C290" s="16" t="inlineStr">
        <is>
          <t>Document</t>
        </is>
      </c>
      <c r="D290" s="16" t="inlineStr"/>
      <c r="E290" s="16" t="inlineStr"/>
      <c r="F290" s="16" t="inlineStr"/>
      <c r="G290" s="16" t="inlineStr">
        <is>
          <t>Not Started</t>
        </is>
      </c>
      <c r="H290" s="16" t="inlineStr">
        <is>
          <t>Not Reviewed</t>
        </is>
      </c>
      <c r="I290" s="16" t="inlineStr"/>
      <c r="J290" s="20" t="inlineStr"/>
      <c r="K290" s="20" t="inlineStr"/>
      <c r="L290" s="16" t="inlineStr"/>
      <c r="M290" s="16" t="inlineStr"/>
      <c r="N290" s="16" t="inlineStr">
        <is>
          <t>CUI</t>
        </is>
      </c>
      <c r="O290" s="16" t="inlineStr"/>
      <c r="P290" s="16" t="inlineStr"/>
    </row>
    <row r="291">
      <c r="A291" s="16" t="inlineStr"/>
      <c r="B291" s="16" t="inlineStr"/>
      <c r="C291" s="16" t="inlineStr">
        <is>
          <t>Document</t>
        </is>
      </c>
      <c r="D291" s="16" t="inlineStr"/>
      <c r="E291" s="16" t="inlineStr"/>
      <c r="F291" s="16" t="inlineStr"/>
      <c r="G291" s="16" t="inlineStr">
        <is>
          <t>Not Started</t>
        </is>
      </c>
      <c r="H291" s="16" t="inlineStr">
        <is>
          <t>Not Reviewed</t>
        </is>
      </c>
      <c r="I291" s="16" t="inlineStr"/>
      <c r="J291" s="20" t="inlineStr"/>
      <c r="K291" s="20" t="inlineStr"/>
      <c r="L291" s="16" t="inlineStr"/>
      <c r="M291" s="16" t="inlineStr"/>
      <c r="N291" s="16" t="inlineStr">
        <is>
          <t>CUI</t>
        </is>
      </c>
      <c r="O291" s="16" t="inlineStr"/>
      <c r="P291" s="16" t="inlineStr"/>
    </row>
    <row r="292">
      <c r="A292" s="16" t="inlineStr"/>
      <c r="B292" s="16" t="inlineStr"/>
      <c r="C292" s="16" t="inlineStr">
        <is>
          <t>Document</t>
        </is>
      </c>
      <c r="D292" s="16" t="inlineStr"/>
      <c r="E292" s="16" t="inlineStr"/>
      <c r="F292" s="16" t="inlineStr"/>
      <c r="G292" s="16" t="inlineStr">
        <is>
          <t>Not Started</t>
        </is>
      </c>
      <c r="H292" s="16" t="inlineStr">
        <is>
          <t>Not Reviewed</t>
        </is>
      </c>
      <c r="I292" s="16" t="inlineStr"/>
      <c r="J292" s="20" t="inlineStr"/>
      <c r="K292" s="20" t="inlineStr"/>
      <c r="L292" s="16" t="inlineStr"/>
      <c r="M292" s="16" t="inlineStr"/>
      <c r="N292" s="16" t="inlineStr">
        <is>
          <t>CUI</t>
        </is>
      </c>
      <c r="O292" s="16" t="inlineStr"/>
      <c r="P292" s="16" t="inlineStr"/>
    </row>
    <row r="293">
      <c r="A293" s="16" t="inlineStr"/>
      <c r="B293" s="16" t="inlineStr"/>
      <c r="C293" s="16" t="inlineStr">
        <is>
          <t>Document</t>
        </is>
      </c>
      <c r="D293" s="16" t="inlineStr"/>
      <c r="E293" s="16" t="inlineStr"/>
      <c r="F293" s="16" t="inlineStr"/>
      <c r="G293" s="16" t="inlineStr">
        <is>
          <t>Not Started</t>
        </is>
      </c>
      <c r="H293" s="16" t="inlineStr">
        <is>
          <t>Not Reviewed</t>
        </is>
      </c>
      <c r="I293" s="16" t="inlineStr"/>
      <c r="J293" s="20" t="inlineStr"/>
      <c r="K293" s="20" t="inlineStr"/>
      <c r="L293" s="16" t="inlineStr"/>
      <c r="M293" s="16" t="inlineStr"/>
      <c r="N293" s="16" t="inlineStr">
        <is>
          <t>CUI</t>
        </is>
      </c>
      <c r="O293" s="16" t="inlineStr"/>
      <c r="P293" s="16" t="inlineStr"/>
    </row>
    <row r="294">
      <c r="A294" s="16" t="inlineStr"/>
      <c r="B294" s="16" t="inlineStr"/>
      <c r="C294" s="16" t="inlineStr">
        <is>
          <t>Document</t>
        </is>
      </c>
      <c r="D294" s="16" t="inlineStr"/>
      <c r="E294" s="16" t="inlineStr"/>
      <c r="F294" s="16" t="inlineStr"/>
      <c r="G294" s="16" t="inlineStr">
        <is>
          <t>Not Started</t>
        </is>
      </c>
      <c r="H294" s="16" t="inlineStr">
        <is>
          <t>Not Reviewed</t>
        </is>
      </c>
      <c r="I294" s="16" t="inlineStr"/>
      <c r="J294" s="20" t="inlineStr"/>
      <c r="K294" s="20" t="inlineStr"/>
      <c r="L294" s="16" t="inlineStr"/>
      <c r="M294" s="16" t="inlineStr"/>
      <c r="N294" s="16" t="inlineStr">
        <is>
          <t>CUI</t>
        </is>
      </c>
      <c r="O294" s="16" t="inlineStr"/>
      <c r="P294" s="16" t="inlineStr"/>
    </row>
    <row r="295">
      <c r="A295" s="16" t="inlineStr"/>
      <c r="B295" s="16" t="inlineStr"/>
      <c r="C295" s="16" t="inlineStr">
        <is>
          <t>Document</t>
        </is>
      </c>
      <c r="D295" s="16" t="inlineStr"/>
      <c r="E295" s="16" t="inlineStr"/>
      <c r="F295" s="16" t="inlineStr"/>
      <c r="G295" s="16" t="inlineStr">
        <is>
          <t>Not Started</t>
        </is>
      </c>
      <c r="H295" s="16" t="inlineStr">
        <is>
          <t>Not Reviewed</t>
        </is>
      </c>
      <c r="I295" s="16" t="inlineStr"/>
      <c r="J295" s="20" t="inlineStr"/>
      <c r="K295" s="20" t="inlineStr"/>
      <c r="L295" s="16" t="inlineStr"/>
      <c r="M295" s="16" t="inlineStr"/>
      <c r="N295" s="16" t="inlineStr">
        <is>
          <t>CUI</t>
        </is>
      </c>
      <c r="O295" s="16" t="inlineStr"/>
      <c r="P295" s="16" t="inlineStr"/>
    </row>
    <row r="296">
      <c r="A296" s="16" t="inlineStr"/>
      <c r="B296" s="16" t="inlineStr"/>
      <c r="C296" s="16" t="inlineStr">
        <is>
          <t>Document</t>
        </is>
      </c>
      <c r="D296" s="16" t="inlineStr"/>
      <c r="E296" s="16" t="inlineStr"/>
      <c r="F296" s="16" t="inlineStr"/>
      <c r="G296" s="16" t="inlineStr">
        <is>
          <t>Not Started</t>
        </is>
      </c>
      <c r="H296" s="16" t="inlineStr">
        <is>
          <t>Not Reviewed</t>
        </is>
      </c>
      <c r="I296" s="16" t="inlineStr"/>
      <c r="J296" s="20" t="inlineStr"/>
      <c r="K296" s="20" t="inlineStr"/>
      <c r="L296" s="16" t="inlineStr"/>
      <c r="M296" s="16" t="inlineStr"/>
      <c r="N296" s="16" t="inlineStr">
        <is>
          <t>CUI</t>
        </is>
      </c>
      <c r="O296" s="16" t="inlineStr"/>
      <c r="P296" s="16" t="inlineStr"/>
    </row>
    <row r="297">
      <c r="A297" s="16" t="inlineStr"/>
      <c r="B297" s="16" t="inlineStr"/>
      <c r="C297" s="16" t="inlineStr">
        <is>
          <t>Document</t>
        </is>
      </c>
      <c r="D297" s="16" t="inlineStr"/>
      <c r="E297" s="16" t="inlineStr"/>
      <c r="F297" s="16" t="inlineStr"/>
      <c r="G297" s="16" t="inlineStr">
        <is>
          <t>Not Started</t>
        </is>
      </c>
      <c r="H297" s="16" t="inlineStr">
        <is>
          <t>Not Reviewed</t>
        </is>
      </c>
      <c r="I297" s="16" t="inlineStr"/>
      <c r="J297" s="20" t="inlineStr"/>
      <c r="K297" s="20" t="inlineStr"/>
      <c r="L297" s="16" t="inlineStr"/>
      <c r="M297" s="16" t="inlineStr"/>
      <c r="N297" s="16" t="inlineStr">
        <is>
          <t>CUI</t>
        </is>
      </c>
      <c r="O297" s="16" t="inlineStr"/>
      <c r="P297" s="16" t="inlineStr"/>
    </row>
    <row r="298">
      <c r="A298" s="16" t="inlineStr"/>
      <c r="B298" s="16" t="inlineStr"/>
      <c r="C298" s="16" t="inlineStr">
        <is>
          <t>Document</t>
        </is>
      </c>
      <c r="D298" s="16" t="inlineStr"/>
      <c r="E298" s="16" t="inlineStr"/>
      <c r="F298" s="16" t="inlineStr"/>
      <c r="G298" s="16" t="inlineStr">
        <is>
          <t>Not Started</t>
        </is>
      </c>
      <c r="H298" s="16" t="inlineStr">
        <is>
          <t>Not Reviewed</t>
        </is>
      </c>
      <c r="I298" s="16" t="inlineStr"/>
      <c r="J298" s="20" t="inlineStr"/>
      <c r="K298" s="20" t="inlineStr"/>
      <c r="L298" s="16" t="inlineStr"/>
      <c r="M298" s="16" t="inlineStr"/>
      <c r="N298" s="16" t="inlineStr">
        <is>
          <t>CUI</t>
        </is>
      </c>
      <c r="O298" s="16" t="inlineStr"/>
      <c r="P298" s="16" t="inlineStr"/>
    </row>
    <row r="299">
      <c r="A299" s="16" t="inlineStr"/>
      <c r="B299" s="16" t="inlineStr"/>
      <c r="C299" s="16" t="inlineStr">
        <is>
          <t>Document</t>
        </is>
      </c>
      <c r="D299" s="16" t="inlineStr"/>
      <c r="E299" s="16" t="inlineStr"/>
      <c r="F299" s="16" t="inlineStr"/>
      <c r="G299" s="16" t="inlineStr">
        <is>
          <t>Not Started</t>
        </is>
      </c>
      <c r="H299" s="16" t="inlineStr">
        <is>
          <t>Not Reviewed</t>
        </is>
      </c>
      <c r="I299" s="16" t="inlineStr"/>
      <c r="J299" s="20" t="inlineStr"/>
      <c r="K299" s="20" t="inlineStr"/>
      <c r="L299" s="16" t="inlineStr"/>
      <c r="M299" s="16" t="inlineStr"/>
      <c r="N299" s="16" t="inlineStr">
        <is>
          <t>CUI</t>
        </is>
      </c>
      <c r="O299" s="16" t="inlineStr"/>
      <c r="P299" s="16" t="inlineStr"/>
    </row>
    <row r="300">
      <c r="A300" s="16" t="inlineStr"/>
      <c r="B300" s="16" t="inlineStr"/>
      <c r="C300" s="16" t="inlineStr">
        <is>
          <t>Document</t>
        </is>
      </c>
      <c r="D300" s="16" t="inlineStr"/>
      <c r="E300" s="16" t="inlineStr"/>
      <c r="F300" s="16" t="inlineStr"/>
      <c r="G300" s="16" t="inlineStr">
        <is>
          <t>Not Started</t>
        </is>
      </c>
      <c r="H300" s="16" t="inlineStr">
        <is>
          <t>Not Reviewed</t>
        </is>
      </c>
      <c r="I300" s="16" t="inlineStr"/>
      <c r="J300" s="20" t="inlineStr"/>
      <c r="K300" s="20" t="inlineStr"/>
      <c r="L300" s="16" t="inlineStr"/>
      <c r="M300" s="16" t="inlineStr"/>
      <c r="N300" s="16" t="inlineStr">
        <is>
          <t>CUI</t>
        </is>
      </c>
      <c r="O300" s="16" t="inlineStr"/>
      <c r="P300" s="16" t="inlineStr"/>
    </row>
    <row r="301">
      <c r="A301" s="16" t="inlineStr"/>
      <c r="B301" s="16" t="inlineStr"/>
      <c r="C301" s="16" t="inlineStr">
        <is>
          <t>Document</t>
        </is>
      </c>
      <c r="D301" s="16" t="inlineStr"/>
      <c r="E301" s="16" t="inlineStr"/>
      <c r="F301" s="16" t="inlineStr"/>
      <c r="G301" s="16" t="inlineStr">
        <is>
          <t>Not Started</t>
        </is>
      </c>
      <c r="H301" s="16" t="inlineStr">
        <is>
          <t>Not Reviewed</t>
        </is>
      </c>
      <c r="I301" s="16" t="inlineStr"/>
      <c r="J301" s="20" t="inlineStr"/>
      <c r="K301" s="20" t="inlineStr"/>
      <c r="L301" s="16" t="inlineStr"/>
      <c r="M301" s="16" t="inlineStr"/>
      <c r="N301" s="16" t="inlineStr">
        <is>
          <t>CUI</t>
        </is>
      </c>
      <c r="O301" s="16" t="inlineStr"/>
      <c r="P301" s="16" t="inlineStr"/>
    </row>
    <row r="302">
      <c r="A302" s="16" t="inlineStr"/>
      <c r="B302" s="16" t="inlineStr"/>
      <c r="C302" s="16" t="inlineStr">
        <is>
          <t>Document</t>
        </is>
      </c>
      <c r="D302" s="16" t="inlineStr"/>
      <c r="E302" s="16" t="inlineStr"/>
      <c r="F302" s="16" t="inlineStr"/>
      <c r="G302" s="16" t="inlineStr">
        <is>
          <t>Not Started</t>
        </is>
      </c>
      <c r="H302" s="16" t="inlineStr">
        <is>
          <t>Not Reviewed</t>
        </is>
      </c>
      <c r="I302" s="16" t="inlineStr"/>
      <c r="J302" s="20" t="inlineStr"/>
      <c r="K302" s="20" t="inlineStr"/>
      <c r="L302" s="16" t="inlineStr"/>
      <c r="M302" s="16" t="inlineStr"/>
      <c r="N302" s="16" t="inlineStr">
        <is>
          <t>CUI</t>
        </is>
      </c>
      <c r="O302" s="16" t="inlineStr"/>
      <c r="P302" s="16" t="inlineStr"/>
    </row>
    <row r="303">
      <c r="A303" s="16" t="inlineStr"/>
      <c r="B303" s="16" t="inlineStr"/>
      <c r="C303" s="16" t="inlineStr">
        <is>
          <t>Document</t>
        </is>
      </c>
      <c r="D303" s="16" t="inlineStr"/>
      <c r="E303" s="16" t="inlineStr"/>
      <c r="F303" s="16" t="inlineStr"/>
      <c r="G303" s="16" t="inlineStr">
        <is>
          <t>Not Started</t>
        </is>
      </c>
      <c r="H303" s="16" t="inlineStr">
        <is>
          <t>Not Reviewed</t>
        </is>
      </c>
      <c r="I303" s="16" t="inlineStr"/>
      <c r="J303" s="20" t="inlineStr"/>
      <c r="K303" s="20" t="inlineStr"/>
      <c r="L303" s="16" t="inlineStr"/>
      <c r="M303" s="16" t="inlineStr"/>
      <c r="N303" s="16" t="inlineStr">
        <is>
          <t>CUI</t>
        </is>
      </c>
      <c r="O303" s="16" t="inlineStr"/>
      <c r="P303" s="16" t="inlineStr"/>
    </row>
    <row r="304">
      <c r="A304" s="16" t="inlineStr"/>
      <c r="B304" s="16" t="inlineStr"/>
      <c r="C304" s="16" t="inlineStr">
        <is>
          <t>Document</t>
        </is>
      </c>
      <c r="D304" s="16" t="inlineStr"/>
      <c r="E304" s="16" t="inlineStr"/>
      <c r="F304" s="16" t="inlineStr"/>
      <c r="G304" s="16" t="inlineStr">
        <is>
          <t>Not Started</t>
        </is>
      </c>
      <c r="H304" s="16" t="inlineStr">
        <is>
          <t>Not Reviewed</t>
        </is>
      </c>
      <c r="I304" s="16" t="inlineStr"/>
      <c r="J304" s="20" t="inlineStr"/>
      <c r="K304" s="20" t="inlineStr"/>
      <c r="L304" s="16" t="inlineStr"/>
      <c r="M304" s="16" t="inlineStr"/>
      <c r="N304" s="16" t="inlineStr">
        <is>
          <t>CUI</t>
        </is>
      </c>
      <c r="O304" s="16" t="inlineStr"/>
      <c r="P304" s="16" t="inlineStr"/>
    </row>
    <row r="305">
      <c r="A305" s="16" t="inlineStr"/>
      <c r="B305" s="16" t="inlineStr"/>
      <c r="C305" s="16" t="inlineStr">
        <is>
          <t>Document</t>
        </is>
      </c>
      <c r="D305" s="16" t="inlineStr"/>
      <c r="E305" s="16" t="inlineStr"/>
      <c r="F305" s="16" t="inlineStr"/>
      <c r="G305" s="16" t="inlineStr">
        <is>
          <t>Not Started</t>
        </is>
      </c>
      <c r="H305" s="16" t="inlineStr">
        <is>
          <t>Not Reviewed</t>
        </is>
      </c>
      <c r="I305" s="16" t="inlineStr"/>
      <c r="J305" s="20" t="inlineStr"/>
      <c r="K305" s="20" t="inlineStr"/>
      <c r="L305" s="16" t="inlineStr"/>
      <c r="M305" s="16" t="inlineStr"/>
      <c r="N305" s="16" t="inlineStr">
        <is>
          <t>CUI</t>
        </is>
      </c>
      <c r="O305" s="16" t="inlineStr"/>
      <c r="P305" s="16" t="inlineStr"/>
    </row>
    <row r="306">
      <c r="A306" s="16" t="inlineStr"/>
      <c r="B306" s="16" t="inlineStr"/>
      <c r="C306" s="16" t="inlineStr">
        <is>
          <t>Document</t>
        </is>
      </c>
      <c r="D306" s="16" t="inlineStr"/>
      <c r="E306" s="16" t="inlineStr"/>
      <c r="F306" s="16" t="inlineStr"/>
      <c r="G306" s="16" t="inlineStr">
        <is>
          <t>Not Started</t>
        </is>
      </c>
      <c r="H306" s="16" t="inlineStr">
        <is>
          <t>Not Reviewed</t>
        </is>
      </c>
      <c r="I306" s="16" t="inlineStr"/>
      <c r="J306" s="20" t="inlineStr"/>
      <c r="K306" s="20" t="inlineStr"/>
      <c r="L306" s="16" t="inlineStr"/>
      <c r="M306" s="16" t="inlineStr"/>
      <c r="N306" s="16" t="inlineStr">
        <is>
          <t>CUI</t>
        </is>
      </c>
      <c r="O306" s="16" t="inlineStr"/>
      <c r="P306" s="16" t="inlineStr"/>
    </row>
    <row r="307">
      <c r="A307" s="16" t="inlineStr"/>
      <c r="B307" s="16" t="inlineStr"/>
      <c r="C307" s="16" t="inlineStr">
        <is>
          <t>Document</t>
        </is>
      </c>
      <c r="D307" s="16" t="inlineStr"/>
      <c r="E307" s="16" t="inlineStr"/>
      <c r="F307" s="16" t="inlineStr"/>
      <c r="G307" s="16" t="inlineStr">
        <is>
          <t>Not Started</t>
        </is>
      </c>
      <c r="H307" s="16" t="inlineStr">
        <is>
          <t>Not Reviewed</t>
        </is>
      </c>
      <c r="I307" s="16" t="inlineStr"/>
      <c r="J307" s="20" t="inlineStr"/>
      <c r="K307" s="20" t="inlineStr"/>
      <c r="L307" s="16" t="inlineStr"/>
      <c r="M307" s="16" t="inlineStr"/>
      <c r="N307" s="16" t="inlineStr">
        <is>
          <t>CUI</t>
        </is>
      </c>
      <c r="O307" s="16" t="inlineStr"/>
      <c r="P307" s="16" t="inlineStr"/>
    </row>
    <row r="308">
      <c r="A308" s="16" t="inlineStr"/>
      <c r="B308" s="16" t="inlineStr"/>
      <c r="C308" s="16" t="inlineStr">
        <is>
          <t>Document</t>
        </is>
      </c>
      <c r="D308" s="16" t="inlineStr"/>
      <c r="E308" s="16" t="inlineStr"/>
      <c r="F308" s="16" t="inlineStr"/>
      <c r="G308" s="16" t="inlineStr">
        <is>
          <t>Not Started</t>
        </is>
      </c>
      <c r="H308" s="16" t="inlineStr">
        <is>
          <t>Not Reviewed</t>
        </is>
      </c>
      <c r="I308" s="16" t="inlineStr"/>
      <c r="J308" s="20" t="inlineStr"/>
      <c r="K308" s="20" t="inlineStr"/>
      <c r="L308" s="16" t="inlineStr"/>
      <c r="M308" s="16" t="inlineStr"/>
      <c r="N308" s="16" t="inlineStr">
        <is>
          <t>CUI</t>
        </is>
      </c>
      <c r="O308" s="16" t="inlineStr"/>
      <c r="P308" s="16" t="inlineStr"/>
    </row>
    <row r="309">
      <c r="A309" s="16" t="inlineStr"/>
      <c r="B309" s="16" t="inlineStr"/>
      <c r="C309" s="16" t="inlineStr">
        <is>
          <t>Document</t>
        </is>
      </c>
      <c r="D309" s="16" t="inlineStr"/>
      <c r="E309" s="16" t="inlineStr"/>
      <c r="F309" s="16" t="inlineStr"/>
      <c r="G309" s="16" t="inlineStr">
        <is>
          <t>Not Started</t>
        </is>
      </c>
      <c r="H309" s="16" t="inlineStr">
        <is>
          <t>Not Reviewed</t>
        </is>
      </c>
      <c r="I309" s="16" t="inlineStr"/>
      <c r="J309" s="20" t="inlineStr"/>
      <c r="K309" s="20" t="inlineStr"/>
      <c r="L309" s="16" t="inlineStr"/>
      <c r="M309" s="16" t="inlineStr"/>
      <c r="N309" s="16" t="inlineStr">
        <is>
          <t>CUI</t>
        </is>
      </c>
      <c r="O309" s="16" t="inlineStr"/>
      <c r="P309" s="16" t="inlineStr"/>
    </row>
    <row r="310">
      <c r="A310" s="16" t="inlineStr"/>
      <c r="B310" s="16" t="inlineStr"/>
      <c r="C310" s="16" t="inlineStr">
        <is>
          <t>Document</t>
        </is>
      </c>
      <c r="D310" s="16" t="inlineStr"/>
      <c r="E310" s="16" t="inlineStr"/>
      <c r="F310" s="16" t="inlineStr"/>
      <c r="G310" s="16" t="inlineStr">
        <is>
          <t>Not Started</t>
        </is>
      </c>
      <c r="H310" s="16" t="inlineStr">
        <is>
          <t>Not Reviewed</t>
        </is>
      </c>
      <c r="I310" s="16" t="inlineStr"/>
      <c r="J310" s="20" t="inlineStr"/>
      <c r="K310" s="20" t="inlineStr"/>
      <c r="L310" s="16" t="inlineStr"/>
      <c r="M310" s="16" t="inlineStr"/>
      <c r="N310" s="16" t="inlineStr">
        <is>
          <t>CUI</t>
        </is>
      </c>
      <c r="O310" s="16" t="inlineStr"/>
      <c r="P310" s="16" t="inlineStr"/>
    </row>
    <row r="311">
      <c r="A311" s="16" t="inlineStr"/>
      <c r="B311" s="16" t="inlineStr"/>
      <c r="C311" s="16" t="inlineStr">
        <is>
          <t>Document</t>
        </is>
      </c>
      <c r="D311" s="16" t="inlineStr"/>
      <c r="E311" s="16" t="inlineStr"/>
      <c r="F311" s="16" t="inlineStr"/>
      <c r="G311" s="16" t="inlineStr">
        <is>
          <t>Not Started</t>
        </is>
      </c>
      <c r="H311" s="16" t="inlineStr">
        <is>
          <t>Not Reviewed</t>
        </is>
      </c>
      <c r="I311" s="16" t="inlineStr"/>
      <c r="J311" s="20" t="inlineStr"/>
      <c r="K311" s="20" t="inlineStr"/>
      <c r="L311" s="16" t="inlineStr"/>
      <c r="M311" s="16" t="inlineStr"/>
      <c r="N311" s="16" t="inlineStr">
        <is>
          <t>CUI</t>
        </is>
      </c>
      <c r="O311" s="16" t="inlineStr"/>
      <c r="P311" s="16" t="inlineStr"/>
    </row>
    <row r="312">
      <c r="A312" s="16" t="inlineStr"/>
      <c r="B312" s="16" t="inlineStr"/>
      <c r="C312" s="16" t="inlineStr">
        <is>
          <t>Document</t>
        </is>
      </c>
      <c r="D312" s="16" t="inlineStr"/>
      <c r="E312" s="16" t="inlineStr"/>
      <c r="F312" s="16" t="inlineStr"/>
      <c r="G312" s="16" t="inlineStr">
        <is>
          <t>Not Started</t>
        </is>
      </c>
      <c r="H312" s="16" t="inlineStr">
        <is>
          <t>Not Reviewed</t>
        </is>
      </c>
      <c r="I312" s="16" t="inlineStr"/>
      <c r="J312" s="20" t="inlineStr"/>
      <c r="K312" s="20" t="inlineStr"/>
      <c r="L312" s="16" t="inlineStr"/>
      <c r="M312" s="16" t="inlineStr"/>
      <c r="N312" s="16" t="inlineStr">
        <is>
          <t>CUI</t>
        </is>
      </c>
      <c r="O312" s="16" t="inlineStr"/>
      <c r="P312" s="16" t="inlineStr"/>
    </row>
    <row r="313">
      <c r="A313" s="16" t="inlineStr"/>
      <c r="B313" s="16" t="inlineStr"/>
      <c r="C313" s="16" t="inlineStr">
        <is>
          <t>Document</t>
        </is>
      </c>
      <c r="D313" s="16" t="inlineStr"/>
      <c r="E313" s="16" t="inlineStr"/>
      <c r="F313" s="16" t="inlineStr"/>
      <c r="G313" s="16" t="inlineStr">
        <is>
          <t>Not Started</t>
        </is>
      </c>
      <c r="H313" s="16" t="inlineStr">
        <is>
          <t>Not Reviewed</t>
        </is>
      </c>
      <c r="I313" s="16" t="inlineStr"/>
      <c r="J313" s="20" t="inlineStr"/>
      <c r="K313" s="20" t="inlineStr"/>
      <c r="L313" s="16" t="inlineStr"/>
      <c r="M313" s="16" t="inlineStr"/>
      <c r="N313" s="16" t="inlineStr">
        <is>
          <t>CUI</t>
        </is>
      </c>
      <c r="O313" s="16" t="inlineStr"/>
      <c r="P313" s="16" t="inlineStr"/>
    </row>
    <row r="314">
      <c r="A314" s="16" t="inlineStr"/>
      <c r="B314" s="16" t="inlineStr"/>
      <c r="C314" s="16" t="inlineStr">
        <is>
          <t>Document</t>
        </is>
      </c>
      <c r="D314" s="16" t="inlineStr"/>
      <c r="E314" s="16" t="inlineStr"/>
      <c r="F314" s="16" t="inlineStr"/>
      <c r="G314" s="16" t="inlineStr">
        <is>
          <t>Not Started</t>
        </is>
      </c>
      <c r="H314" s="16" t="inlineStr">
        <is>
          <t>Not Reviewed</t>
        </is>
      </c>
      <c r="I314" s="16" t="inlineStr"/>
      <c r="J314" s="20" t="inlineStr"/>
      <c r="K314" s="20" t="inlineStr"/>
      <c r="L314" s="16" t="inlineStr"/>
      <c r="M314" s="16" t="inlineStr"/>
      <c r="N314" s="16" t="inlineStr">
        <is>
          <t>CUI</t>
        </is>
      </c>
      <c r="O314" s="16" t="inlineStr"/>
      <c r="P314" s="16" t="inlineStr"/>
    </row>
    <row r="315">
      <c r="A315" s="16" t="inlineStr"/>
      <c r="B315" s="16" t="inlineStr"/>
      <c r="C315" s="16" t="inlineStr">
        <is>
          <t>Document</t>
        </is>
      </c>
      <c r="D315" s="16" t="inlineStr"/>
      <c r="E315" s="16" t="inlineStr"/>
      <c r="F315" s="16" t="inlineStr"/>
      <c r="G315" s="16" t="inlineStr">
        <is>
          <t>Not Started</t>
        </is>
      </c>
      <c r="H315" s="16" t="inlineStr">
        <is>
          <t>Not Reviewed</t>
        </is>
      </c>
      <c r="I315" s="16" t="inlineStr"/>
      <c r="J315" s="20" t="inlineStr"/>
      <c r="K315" s="20" t="inlineStr"/>
      <c r="L315" s="16" t="inlineStr"/>
      <c r="M315" s="16" t="inlineStr"/>
      <c r="N315" s="16" t="inlineStr">
        <is>
          <t>CUI</t>
        </is>
      </c>
      <c r="O315" s="16" t="inlineStr"/>
      <c r="P315" s="16" t="inlineStr"/>
    </row>
    <row r="316">
      <c r="A316" s="16" t="inlineStr"/>
      <c r="B316" s="16" t="inlineStr"/>
      <c r="C316" s="16" t="inlineStr">
        <is>
          <t>Document</t>
        </is>
      </c>
      <c r="D316" s="16" t="inlineStr"/>
      <c r="E316" s="16" t="inlineStr"/>
      <c r="F316" s="16" t="inlineStr"/>
      <c r="G316" s="16" t="inlineStr">
        <is>
          <t>Not Started</t>
        </is>
      </c>
      <c r="H316" s="16" t="inlineStr">
        <is>
          <t>Not Reviewed</t>
        </is>
      </c>
      <c r="I316" s="16" t="inlineStr"/>
      <c r="J316" s="20" t="inlineStr"/>
      <c r="K316" s="20" t="inlineStr"/>
      <c r="L316" s="16" t="inlineStr"/>
      <c r="M316" s="16" t="inlineStr"/>
      <c r="N316" s="16" t="inlineStr">
        <is>
          <t>CUI</t>
        </is>
      </c>
      <c r="O316" s="16" t="inlineStr"/>
      <c r="P316" s="16" t="inlineStr"/>
    </row>
    <row r="317">
      <c r="A317" s="16" t="inlineStr"/>
      <c r="B317" s="16" t="inlineStr"/>
      <c r="C317" s="16" t="inlineStr">
        <is>
          <t>Document</t>
        </is>
      </c>
      <c r="D317" s="16" t="inlineStr"/>
      <c r="E317" s="16" t="inlineStr"/>
      <c r="F317" s="16" t="inlineStr"/>
      <c r="G317" s="16" t="inlineStr">
        <is>
          <t>Not Started</t>
        </is>
      </c>
      <c r="H317" s="16" t="inlineStr">
        <is>
          <t>Not Reviewed</t>
        </is>
      </c>
      <c r="I317" s="16" t="inlineStr"/>
      <c r="J317" s="20" t="inlineStr"/>
      <c r="K317" s="20" t="inlineStr"/>
      <c r="L317" s="16" t="inlineStr"/>
      <c r="M317" s="16" t="inlineStr"/>
      <c r="N317" s="16" t="inlineStr">
        <is>
          <t>CUI</t>
        </is>
      </c>
      <c r="O317" s="16" t="inlineStr"/>
      <c r="P317" s="16" t="inlineStr"/>
    </row>
    <row r="318">
      <c r="A318" s="16" t="inlineStr"/>
      <c r="B318" s="16" t="inlineStr"/>
      <c r="C318" s="16" t="inlineStr">
        <is>
          <t>Document</t>
        </is>
      </c>
      <c r="D318" s="16" t="inlineStr"/>
      <c r="E318" s="16" t="inlineStr"/>
      <c r="F318" s="16" t="inlineStr"/>
      <c r="G318" s="16" t="inlineStr">
        <is>
          <t>Not Started</t>
        </is>
      </c>
      <c r="H318" s="16" t="inlineStr">
        <is>
          <t>Not Reviewed</t>
        </is>
      </c>
      <c r="I318" s="16" t="inlineStr"/>
      <c r="J318" s="20" t="inlineStr"/>
      <c r="K318" s="20" t="inlineStr"/>
      <c r="L318" s="16" t="inlineStr"/>
      <c r="M318" s="16" t="inlineStr"/>
      <c r="N318" s="16" t="inlineStr">
        <is>
          <t>CUI</t>
        </is>
      </c>
      <c r="O318" s="16" t="inlineStr"/>
      <c r="P318" s="16" t="inlineStr"/>
    </row>
    <row r="319">
      <c r="A319" s="16" t="inlineStr"/>
      <c r="B319" s="16" t="inlineStr"/>
      <c r="C319" s="16" t="inlineStr">
        <is>
          <t>Document</t>
        </is>
      </c>
      <c r="D319" s="16" t="inlineStr"/>
      <c r="E319" s="16" t="inlineStr"/>
      <c r="F319" s="16" t="inlineStr"/>
      <c r="G319" s="16" t="inlineStr">
        <is>
          <t>Not Started</t>
        </is>
      </c>
      <c r="H319" s="16" t="inlineStr">
        <is>
          <t>Not Reviewed</t>
        </is>
      </c>
      <c r="I319" s="16" t="inlineStr"/>
      <c r="J319" s="20" t="inlineStr"/>
      <c r="K319" s="20" t="inlineStr"/>
      <c r="L319" s="16" t="inlineStr"/>
      <c r="M319" s="16" t="inlineStr"/>
      <c r="N319" s="16" t="inlineStr">
        <is>
          <t>CUI</t>
        </is>
      </c>
      <c r="O319" s="16" t="inlineStr"/>
      <c r="P319" s="16" t="inlineStr"/>
    </row>
    <row r="320">
      <c r="A320" s="16" t="inlineStr"/>
      <c r="B320" s="16" t="inlineStr"/>
      <c r="C320" s="16" t="inlineStr">
        <is>
          <t>Document</t>
        </is>
      </c>
      <c r="D320" s="16" t="inlineStr"/>
      <c r="E320" s="16" t="inlineStr"/>
      <c r="F320" s="16" t="inlineStr"/>
      <c r="G320" s="16" t="inlineStr">
        <is>
          <t>Not Started</t>
        </is>
      </c>
      <c r="H320" s="16" t="inlineStr">
        <is>
          <t>Not Reviewed</t>
        </is>
      </c>
      <c r="I320" s="16" t="inlineStr"/>
      <c r="J320" s="20" t="inlineStr"/>
      <c r="K320" s="20" t="inlineStr"/>
      <c r="L320" s="16" t="inlineStr"/>
      <c r="M320" s="16" t="inlineStr"/>
      <c r="N320" s="16" t="inlineStr">
        <is>
          <t>CUI</t>
        </is>
      </c>
      <c r="O320" s="16" t="inlineStr"/>
      <c r="P320" s="16" t="inlineStr"/>
    </row>
    <row r="321">
      <c r="A321" s="16" t="inlineStr"/>
      <c r="B321" s="16" t="inlineStr"/>
      <c r="C321" s="16" t="inlineStr">
        <is>
          <t>Document</t>
        </is>
      </c>
      <c r="D321" s="16" t="inlineStr"/>
      <c r="E321" s="16" t="inlineStr"/>
      <c r="F321" s="16" t="inlineStr"/>
      <c r="G321" s="16" t="inlineStr">
        <is>
          <t>Not Started</t>
        </is>
      </c>
      <c r="H321" s="16" t="inlineStr">
        <is>
          <t>Not Reviewed</t>
        </is>
      </c>
      <c r="I321" s="16" t="inlineStr"/>
      <c r="J321" s="20" t="inlineStr"/>
      <c r="K321" s="20" t="inlineStr"/>
      <c r="L321" s="16" t="inlineStr"/>
      <c r="M321" s="16" t="inlineStr"/>
      <c r="N321" s="16" t="inlineStr">
        <is>
          <t>CUI</t>
        </is>
      </c>
      <c r="O321" s="16" t="inlineStr"/>
      <c r="P321" s="16" t="inlineStr"/>
    </row>
    <row r="322">
      <c r="A322" s="16" t="inlineStr"/>
      <c r="B322" s="16" t="inlineStr"/>
      <c r="C322" s="16" t="inlineStr">
        <is>
          <t>Document</t>
        </is>
      </c>
      <c r="D322" s="16" t="inlineStr"/>
      <c r="E322" s="16" t="inlineStr"/>
      <c r="F322" s="16" t="inlineStr"/>
      <c r="G322" s="16" t="inlineStr">
        <is>
          <t>Not Started</t>
        </is>
      </c>
      <c r="H322" s="16" t="inlineStr">
        <is>
          <t>Not Reviewed</t>
        </is>
      </c>
      <c r="I322" s="16" t="inlineStr"/>
      <c r="J322" s="20" t="inlineStr"/>
      <c r="K322" s="20" t="inlineStr"/>
      <c r="L322" s="16" t="inlineStr"/>
      <c r="M322" s="16" t="inlineStr"/>
      <c r="N322" s="16" t="inlineStr">
        <is>
          <t>CUI</t>
        </is>
      </c>
      <c r="O322" s="16" t="inlineStr"/>
      <c r="P322" s="16" t="inlineStr"/>
    </row>
    <row r="323">
      <c r="A323" s="16" t="inlineStr"/>
      <c r="B323" s="16" t="inlineStr"/>
      <c r="C323" s="16" t="inlineStr">
        <is>
          <t>Document</t>
        </is>
      </c>
      <c r="D323" s="16" t="inlineStr"/>
      <c r="E323" s="16" t="inlineStr"/>
      <c r="F323" s="16" t="inlineStr"/>
      <c r="G323" s="16" t="inlineStr">
        <is>
          <t>Not Started</t>
        </is>
      </c>
      <c r="H323" s="16" t="inlineStr">
        <is>
          <t>Not Reviewed</t>
        </is>
      </c>
      <c r="I323" s="16" t="inlineStr"/>
      <c r="J323" s="20" t="inlineStr"/>
      <c r="K323" s="20" t="inlineStr"/>
      <c r="L323" s="16" t="inlineStr"/>
      <c r="M323" s="16" t="inlineStr"/>
      <c r="N323" s="16" t="inlineStr">
        <is>
          <t>CUI</t>
        </is>
      </c>
      <c r="O323" s="16" t="inlineStr"/>
      <c r="P323" s="16" t="inlineStr"/>
    </row>
    <row r="324">
      <c r="A324" s="16" t="inlineStr"/>
      <c r="B324" s="16" t="inlineStr"/>
      <c r="C324" s="16" t="inlineStr">
        <is>
          <t>Document</t>
        </is>
      </c>
      <c r="D324" s="16" t="inlineStr"/>
      <c r="E324" s="16" t="inlineStr"/>
      <c r="F324" s="16" t="inlineStr"/>
      <c r="G324" s="16" t="inlineStr">
        <is>
          <t>Not Started</t>
        </is>
      </c>
      <c r="H324" s="16" t="inlineStr">
        <is>
          <t>Not Reviewed</t>
        </is>
      </c>
      <c r="I324" s="16" t="inlineStr"/>
      <c r="J324" s="20" t="inlineStr"/>
      <c r="K324" s="20" t="inlineStr"/>
      <c r="L324" s="16" t="inlineStr"/>
      <c r="M324" s="16" t="inlineStr"/>
      <c r="N324" s="16" t="inlineStr">
        <is>
          <t>CUI</t>
        </is>
      </c>
      <c r="O324" s="16" t="inlineStr"/>
      <c r="P324" s="16" t="inlineStr"/>
    </row>
    <row r="325">
      <c r="A325" s="16" t="inlineStr"/>
      <c r="B325" s="16" t="inlineStr"/>
      <c r="C325" s="16" t="inlineStr">
        <is>
          <t>Document</t>
        </is>
      </c>
      <c r="D325" s="16" t="inlineStr"/>
      <c r="E325" s="16" t="inlineStr"/>
      <c r="F325" s="16" t="inlineStr"/>
      <c r="G325" s="16" t="inlineStr">
        <is>
          <t>Not Started</t>
        </is>
      </c>
      <c r="H325" s="16" t="inlineStr">
        <is>
          <t>Not Reviewed</t>
        </is>
      </c>
      <c r="I325" s="16" t="inlineStr"/>
      <c r="J325" s="20" t="inlineStr"/>
      <c r="K325" s="20" t="inlineStr"/>
      <c r="L325" s="16" t="inlineStr"/>
      <c r="M325" s="16" t="inlineStr"/>
      <c r="N325" s="16" t="inlineStr">
        <is>
          <t>CUI</t>
        </is>
      </c>
      <c r="O325" s="16" t="inlineStr"/>
      <c r="P325" s="16" t="inlineStr"/>
    </row>
    <row r="326">
      <c r="A326" s="16" t="inlineStr"/>
      <c r="B326" s="16" t="inlineStr"/>
      <c r="C326" s="16" t="inlineStr">
        <is>
          <t>Document</t>
        </is>
      </c>
      <c r="D326" s="16" t="inlineStr"/>
      <c r="E326" s="16" t="inlineStr"/>
      <c r="F326" s="16" t="inlineStr"/>
      <c r="G326" s="16" t="inlineStr">
        <is>
          <t>Not Started</t>
        </is>
      </c>
      <c r="H326" s="16" t="inlineStr">
        <is>
          <t>Not Reviewed</t>
        </is>
      </c>
      <c r="I326" s="16" t="inlineStr"/>
      <c r="J326" s="20" t="inlineStr"/>
      <c r="K326" s="20" t="inlineStr"/>
      <c r="L326" s="16" t="inlineStr"/>
      <c r="M326" s="16" t="inlineStr"/>
      <c r="N326" s="16" t="inlineStr">
        <is>
          <t>CUI</t>
        </is>
      </c>
      <c r="O326" s="16" t="inlineStr"/>
      <c r="P326" s="16" t="inlineStr"/>
    </row>
    <row r="327">
      <c r="A327" s="16" t="inlineStr"/>
      <c r="B327" s="16" t="inlineStr"/>
      <c r="C327" s="16" t="inlineStr">
        <is>
          <t>Document</t>
        </is>
      </c>
      <c r="D327" s="16" t="inlineStr"/>
      <c r="E327" s="16" t="inlineStr"/>
      <c r="F327" s="16" t="inlineStr"/>
      <c r="G327" s="16" t="inlineStr">
        <is>
          <t>Not Started</t>
        </is>
      </c>
      <c r="H327" s="16" t="inlineStr">
        <is>
          <t>Not Reviewed</t>
        </is>
      </c>
      <c r="I327" s="16" t="inlineStr"/>
      <c r="J327" s="20" t="inlineStr"/>
      <c r="K327" s="20" t="inlineStr"/>
      <c r="L327" s="16" t="inlineStr"/>
      <c r="M327" s="16" t="inlineStr"/>
      <c r="N327" s="16" t="inlineStr">
        <is>
          <t>CUI</t>
        </is>
      </c>
      <c r="O327" s="16" t="inlineStr"/>
      <c r="P327" s="16" t="inlineStr"/>
    </row>
    <row r="328">
      <c r="A328" s="16" t="inlineStr"/>
      <c r="B328" s="16" t="inlineStr"/>
      <c r="C328" s="16" t="inlineStr">
        <is>
          <t>Document</t>
        </is>
      </c>
      <c r="D328" s="16" t="inlineStr"/>
      <c r="E328" s="16" t="inlineStr"/>
      <c r="F328" s="16" t="inlineStr"/>
      <c r="G328" s="16" t="inlineStr">
        <is>
          <t>Not Started</t>
        </is>
      </c>
      <c r="H328" s="16" t="inlineStr">
        <is>
          <t>Not Reviewed</t>
        </is>
      </c>
      <c r="I328" s="16" t="inlineStr"/>
      <c r="J328" s="20" t="inlineStr"/>
      <c r="K328" s="20" t="inlineStr"/>
      <c r="L328" s="16" t="inlineStr"/>
      <c r="M328" s="16" t="inlineStr"/>
      <c r="N328" s="16" t="inlineStr">
        <is>
          <t>CUI</t>
        </is>
      </c>
      <c r="O328" s="16" t="inlineStr"/>
      <c r="P328" s="16" t="inlineStr"/>
    </row>
    <row r="329">
      <c r="A329" s="16" t="inlineStr"/>
      <c r="B329" s="16" t="inlineStr"/>
      <c r="C329" s="16" t="inlineStr">
        <is>
          <t>Document</t>
        </is>
      </c>
      <c r="D329" s="16" t="inlineStr"/>
      <c r="E329" s="16" t="inlineStr"/>
      <c r="F329" s="16" t="inlineStr"/>
      <c r="G329" s="16" t="inlineStr">
        <is>
          <t>Not Started</t>
        </is>
      </c>
      <c r="H329" s="16" t="inlineStr">
        <is>
          <t>Not Reviewed</t>
        </is>
      </c>
      <c r="I329" s="16" t="inlineStr"/>
      <c r="J329" s="20" t="inlineStr"/>
      <c r="K329" s="20" t="inlineStr"/>
      <c r="L329" s="16" t="inlineStr"/>
      <c r="M329" s="16" t="inlineStr"/>
      <c r="N329" s="16" t="inlineStr">
        <is>
          <t>CUI</t>
        </is>
      </c>
      <c r="O329" s="16" t="inlineStr"/>
      <c r="P329" s="16" t="inlineStr"/>
    </row>
    <row r="330">
      <c r="A330" s="16" t="inlineStr"/>
      <c r="B330" s="16" t="inlineStr"/>
      <c r="C330" s="16" t="inlineStr">
        <is>
          <t>Document</t>
        </is>
      </c>
      <c r="D330" s="16" t="inlineStr"/>
      <c r="E330" s="16" t="inlineStr"/>
      <c r="F330" s="16" t="inlineStr"/>
      <c r="G330" s="16" t="inlineStr">
        <is>
          <t>Not Started</t>
        </is>
      </c>
      <c r="H330" s="16" t="inlineStr">
        <is>
          <t>Not Reviewed</t>
        </is>
      </c>
      <c r="I330" s="16" t="inlineStr"/>
      <c r="J330" s="20" t="inlineStr"/>
      <c r="K330" s="20" t="inlineStr"/>
      <c r="L330" s="16" t="inlineStr"/>
      <c r="M330" s="16" t="inlineStr"/>
      <c r="N330" s="16" t="inlineStr">
        <is>
          <t>CUI</t>
        </is>
      </c>
      <c r="O330" s="16" t="inlineStr"/>
      <c r="P330" s="16" t="inlineStr"/>
    </row>
    <row r="331">
      <c r="A331" s="16" t="inlineStr"/>
      <c r="B331" s="16" t="inlineStr"/>
      <c r="C331" s="16" t="inlineStr">
        <is>
          <t>Document</t>
        </is>
      </c>
      <c r="D331" s="16" t="inlineStr"/>
      <c r="E331" s="16" t="inlineStr"/>
      <c r="F331" s="16" t="inlineStr"/>
      <c r="G331" s="16" t="inlineStr">
        <is>
          <t>Not Started</t>
        </is>
      </c>
      <c r="H331" s="16" t="inlineStr">
        <is>
          <t>Not Reviewed</t>
        </is>
      </c>
      <c r="I331" s="16" t="inlineStr"/>
      <c r="J331" s="20" t="inlineStr"/>
      <c r="K331" s="20" t="inlineStr"/>
      <c r="L331" s="16" t="inlineStr"/>
      <c r="M331" s="16" t="inlineStr"/>
      <c r="N331" s="16" t="inlineStr">
        <is>
          <t>CUI</t>
        </is>
      </c>
      <c r="O331" s="16" t="inlineStr"/>
      <c r="P331" s="16" t="inlineStr"/>
    </row>
    <row r="332">
      <c r="A332" s="16" t="inlineStr"/>
      <c r="B332" s="16" t="inlineStr"/>
      <c r="C332" s="16" t="inlineStr">
        <is>
          <t>Document</t>
        </is>
      </c>
      <c r="D332" s="16" t="inlineStr"/>
      <c r="E332" s="16" t="inlineStr"/>
      <c r="F332" s="16" t="inlineStr"/>
      <c r="G332" s="16" t="inlineStr">
        <is>
          <t>Not Started</t>
        </is>
      </c>
      <c r="H332" s="16" t="inlineStr">
        <is>
          <t>Not Reviewed</t>
        </is>
      </c>
      <c r="I332" s="16" t="inlineStr"/>
      <c r="J332" s="20" t="inlineStr"/>
      <c r="K332" s="20" t="inlineStr"/>
      <c r="L332" s="16" t="inlineStr"/>
      <c r="M332" s="16" t="inlineStr"/>
      <c r="N332" s="16" t="inlineStr">
        <is>
          <t>CUI</t>
        </is>
      </c>
      <c r="O332" s="16" t="inlineStr"/>
      <c r="P332" s="16" t="inlineStr"/>
    </row>
    <row r="333">
      <c r="A333" s="16" t="inlineStr"/>
      <c r="B333" s="16" t="inlineStr"/>
      <c r="C333" s="16" t="inlineStr">
        <is>
          <t>Document</t>
        </is>
      </c>
      <c r="D333" s="16" t="inlineStr"/>
      <c r="E333" s="16" t="inlineStr"/>
      <c r="F333" s="16" t="inlineStr"/>
      <c r="G333" s="16" t="inlineStr">
        <is>
          <t>Not Started</t>
        </is>
      </c>
      <c r="H333" s="16" t="inlineStr">
        <is>
          <t>Not Reviewed</t>
        </is>
      </c>
      <c r="I333" s="16" t="inlineStr"/>
      <c r="J333" s="20" t="inlineStr"/>
      <c r="K333" s="20" t="inlineStr"/>
      <c r="L333" s="16" t="inlineStr"/>
      <c r="M333" s="16" t="inlineStr"/>
      <c r="N333" s="16" t="inlineStr">
        <is>
          <t>CUI</t>
        </is>
      </c>
      <c r="O333" s="16" t="inlineStr"/>
      <c r="P333" s="16" t="inlineStr"/>
    </row>
    <row r="334">
      <c r="A334" s="16" t="inlineStr"/>
      <c r="B334" s="16" t="inlineStr"/>
      <c r="C334" s="16" t="inlineStr">
        <is>
          <t>Document</t>
        </is>
      </c>
      <c r="D334" s="16" t="inlineStr"/>
      <c r="E334" s="16" t="inlineStr"/>
      <c r="F334" s="16" t="inlineStr"/>
      <c r="G334" s="16" t="inlineStr">
        <is>
          <t>Not Started</t>
        </is>
      </c>
      <c r="H334" s="16" t="inlineStr">
        <is>
          <t>Not Reviewed</t>
        </is>
      </c>
      <c r="I334" s="16" t="inlineStr"/>
      <c r="J334" s="20" t="inlineStr"/>
      <c r="K334" s="20" t="inlineStr"/>
      <c r="L334" s="16" t="inlineStr"/>
      <c r="M334" s="16" t="inlineStr"/>
      <c r="N334" s="16" t="inlineStr">
        <is>
          <t>CUI</t>
        </is>
      </c>
      <c r="O334" s="16" t="inlineStr"/>
      <c r="P334" s="16" t="inlineStr"/>
    </row>
    <row r="335">
      <c r="A335" s="16" t="inlineStr"/>
      <c r="B335" s="16" t="inlineStr"/>
      <c r="C335" s="16" t="inlineStr">
        <is>
          <t>Document</t>
        </is>
      </c>
      <c r="D335" s="16" t="inlineStr"/>
      <c r="E335" s="16" t="inlineStr"/>
      <c r="F335" s="16" t="inlineStr"/>
      <c r="G335" s="16" t="inlineStr">
        <is>
          <t>Not Started</t>
        </is>
      </c>
      <c r="H335" s="16" t="inlineStr">
        <is>
          <t>Not Reviewed</t>
        </is>
      </c>
      <c r="I335" s="16" t="inlineStr"/>
      <c r="J335" s="20" t="inlineStr"/>
      <c r="K335" s="20" t="inlineStr"/>
      <c r="L335" s="16" t="inlineStr"/>
      <c r="M335" s="16" t="inlineStr"/>
      <c r="N335" s="16" t="inlineStr">
        <is>
          <t>CUI</t>
        </is>
      </c>
      <c r="O335" s="16" t="inlineStr"/>
      <c r="P335" s="16" t="inlineStr"/>
    </row>
    <row r="336">
      <c r="A336" s="16" t="inlineStr"/>
      <c r="B336" s="16" t="inlineStr"/>
      <c r="C336" s="16" t="inlineStr">
        <is>
          <t>Document</t>
        </is>
      </c>
      <c r="D336" s="16" t="inlineStr"/>
      <c r="E336" s="16" t="inlineStr"/>
      <c r="F336" s="16" t="inlineStr"/>
      <c r="G336" s="16" t="inlineStr">
        <is>
          <t>Not Started</t>
        </is>
      </c>
      <c r="H336" s="16" t="inlineStr">
        <is>
          <t>Not Reviewed</t>
        </is>
      </c>
      <c r="I336" s="16" t="inlineStr"/>
      <c r="J336" s="20" t="inlineStr"/>
      <c r="K336" s="20" t="inlineStr"/>
      <c r="L336" s="16" t="inlineStr"/>
      <c r="M336" s="16" t="inlineStr"/>
      <c r="N336" s="16" t="inlineStr">
        <is>
          <t>CUI</t>
        </is>
      </c>
      <c r="O336" s="16" t="inlineStr"/>
      <c r="P336" s="16" t="inlineStr"/>
    </row>
    <row r="337">
      <c r="A337" s="16" t="inlineStr"/>
      <c r="B337" s="16" t="inlineStr"/>
      <c r="C337" s="16" t="inlineStr">
        <is>
          <t>Document</t>
        </is>
      </c>
      <c r="D337" s="16" t="inlineStr"/>
      <c r="E337" s="16" t="inlineStr"/>
      <c r="F337" s="16" t="inlineStr"/>
      <c r="G337" s="16" t="inlineStr">
        <is>
          <t>Not Started</t>
        </is>
      </c>
      <c r="H337" s="16" t="inlineStr">
        <is>
          <t>Not Reviewed</t>
        </is>
      </c>
      <c r="I337" s="16" t="inlineStr"/>
      <c r="J337" s="20" t="inlineStr"/>
      <c r="K337" s="20" t="inlineStr"/>
      <c r="L337" s="16" t="inlineStr"/>
      <c r="M337" s="16" t="inlineStr"/>
      <c r="N337" s="16" t="inlineStr">
        <is>
          <t>CUI</t>
        </is>
      </c>
      <c r="O337" s="16" t="inlineStr"/>
      <c r="P337" s="16" t="inlineStr"/>
    </row>
    <row r="338">
      <c r="A338" s="16" t="inlineStr"/>
      <c r="B338" s="16" t="inlineStr"/>
      <c r="C338" s="16" t="inlineStr">
        <is>
          <t>Document</t>
        </is>
      </c>
      <c r="D338" s="16" t="inlineStr"/>
      <c r="E338" s="16" t="inlineStr"/>
      <c r="F338" s="16" t="inlineStr"/>
      <c r="G338" s="16" t="inlineStr">
        <is>
          <t>Not Started</t>
        </is>
      </c>
      <c r="H338" s="16" t="inlineStr">
        <is>
          <t>Not Reviewed</t>
        </is>
      </c>
      <c r="I338" s="16" t="inlineStr"/>
      <c r="J338" s="20" t="inlineStr"/>
      <c r="K338" s="20" t="inlineStr"/>
      <c r="L338" s="16" t="inlineStr"/>
      <c r="M338" s="16" t="inlineStr"/>
      <c r="N338" s="16" t="inlineStr">
        <is>
          <t>CUI</t>
        </is>
      </c>
      <c r="O338" s="16" t="inlineStr"/>
      <c r="P338" s="16" t="inlineStr"/>
    </row>
    <row r="339">
      <c r="A339" s="16" t="inlineStr"/>
      <c r="B339" s="16" t="inlineStr"/>
      <c r="C339" s="16" t="inlineStr">
        <is>
          <t>Document</t>
        </is>
      </c>
      <c r="D339" s="16" t="inlineStr"/>
      <c r="E339" s="16" t="inlineStr"/>
      <c r="F339" s="16" t="inlineStr"/>
      <c r="G339" s="16" t="inlineStr">
        <is>
          <t>Not Started</t>
        </is>
      </c>
      <c r="H339" s="16" t="inlineStr">
        <is>
          <t>Not Reviewed</t>
        </is>
      </c>
      <c r="I339" s="16" t="inlineStr"/>
      <c r="J339" s="20" t="inlineStr"/>
      <c r="K339" s="20" t="inlineStr"/>
      <c r="L339" s="16" t="inlineStr"/>
      <c r="M339" s="16" t="inlineStr"/>
      <c r="N339" s="16" t="inlineStr">
        <is>
          <t>CUI</t>
        </is>
      </c>
      <c r="O339" s="16" t="inlineStr"/>
      <c r="P339" s="16" t="inlineStr"/>
    </row>
    <row r="340">
      <c r="A340" s="16" t="inlineStr"/>
      <c r="B340" s="16" t="inlineStr"/>
      <c r="C340" s="16" t="inlineStr">
        <is>
          <t>Document</t>
        </is>
      </c>
      <c r="D340" s="16" t="inlineStr"/>
      <c r="E340" s="16" t="inlineStr"/>
      <c r="F340" s="16" t="inlineStr"/>
      <c r="G340" s="16" t="inlineStr">
        <is>
          <t>Not Started</t>
        </is>
      </c>
      <c r="H340" s="16" t="inlineStr">
        <is>
          <t>Not Reviewed</t>
        </is>
      </c>
      <c r="I340" s="16" t="inlineStr"/>
      <c r="J340" s="20" t="inlineStr"/>
      <c r="K340" s="20" t="inlineStr"/>
      <c r="L340" s="16" t="inlineStr"/>
      <c r="M340" s="16" t="inlineStr"/>
      <c r="N340" s="16" t="inlineStr">
        <is>
          <t>CUI</t>
        </is>
      </c>
      <c r="O340" s="16" t="inlineStr"/>
      <c r="P340" s="16" t="inlineStr"/>
    </row>
    <row r="341">
      <c r="A341" s="16" t="inlineStr"/>
      <c r="B341" s="16" t="inlineStr"/>
      <c r="C341" s="16" t="inlineStr">
        <is>
          <t>Document</t>
        </is>
      </c>
      <c r="D341" s="16" t="inlineStr"/>
      <c r="E341" s="16" t="inlineStr"/>
      <c r="F341" s="16" t="inlineStr"/>
      <c r="G341" s="16" t="inlineStr">
        <is>
          <t>Not Started</t>
        </is>
      </c>
      <c r="H341" s="16" t="inlineStr">
        <is>
          <t>Not Reviewed</t>
        </is>
      </c>
      <c r="I341" s="16" t="inlineStr"/>
      <c r="J341" s="20" t="inlineStr"/>
      <c r="K341" s="20" t="inlineStr"/>
      <c r="L341" s="16" t="inlineStr"/>
      <c r="M341" s="16" t="inlineStr"/>
      <c r="N341" s="16" t="inlineStr">
        <is>
          <t>CUI</t>
        </is>
      </c>
      <c r="O341" s="16" t="inlineStr"/>
      <c r="P341" s="16" t="inlineStr"/>
    </row>
    <row r="342">
      <c r="A342" s="16" t="inlineStr"/>
      <c r="B342" s="16" t="inlineStr"/>
      <c r="C342" s="16" t="inlineStr">
        <is>
          <t>Document</t>
        </is>
      </c>
      <c r="D342" s="16" t="inlineStr"/>
      <c r="E342" s="16" t="inlineStr"/>
      <c r="F342" s="16" t="inlineStr"/>
      <c r="G342" s="16" t="inlineStr">
        <is>
          <t>Not Started</t>
        </is>
      </c>
      <c r="H342" s="16" t="inlineStr">
        <is>
          <t>Not Reviewed</t>
        </is>
      </c>
      <c r="I342" s="16" t="inlineStr"/>
      <c r="J342" s="20" t="inlineStr"/>
      <c r="K342" s="20" t="inlineStr"/>
      <c r="L342" s="16" t="inlineStr"/>
      <c r="M342" s="16" t="inlineStr"/>
      <c r="N342" s="16" t="inlineStr">
        <is>
          <t>CUI</t>
        </is>
      </c>
      <c r="O342" s="16" t="inlineStr"/>
      <c r="P342" s="16" t="inlineStr"/>
    </row>
    <row r="343">
      <c r="A343" s="16" t="inlineStr"/>
      <c r="B343" s="16" t="inlineStr"/>
      <c r="C343" s="16" t="inlineStr">
        <is>
          <t>Document</t>
        </is>
      </c>
      <c r="D343" s="16" t="inlineStr"/>
      <c r="E343" s="16" t="inlineStr"/>
      <c r="F343" s="16" t="inlineStr"/>
      <c r="G343" s="16" t="inlineStr">
        <is>
          <t>Not Started</t>
        </is>
      </c>
      <c r="H343" s="16" t="inlineStr">
        <is>
          <t>Not Reviewed</t>
        </is>
      </c>
      <c r="I343" s="16" t="inlineStr"/>
      <c r="J343" s="20" t="inlineStr"/>
      <c r="K343" s="20" t="inlineStr"/>
      <c r="L343" s="16" t="inlineStr"/>
      <c r="M343" s="16" t="inlineStr"/>
      <c r="N343" s="16" t="inlineStr">
        <is>
          <t>CUI</t>
        </is>
      </c>
      <c r="O343" s="16" t="inlineStr"/>
      <c r="P343" s="16" t="inlineStr"/>
    </row>
    <row r="344">
      <c r="A344" s="16" t="inlineStr"/>
      <c r="B344" s="16" t="inlineStr"/>
      <c r="C344" s="16" t="inlineStr">
        <is>
          <t>Document</t>
        </is>
      </c>
      <c r="D344" s="16" t="inlineStr"/>
      <c r="E344" s="16" t="inlineStr"/>
      <c r="F344" s="16" t="inlineStr"/>
      <c r="G344" s="16" t="inlineStr">
        <is>
          <t>Not Started</t>
        </is>
      </c>
      <c r="H344" s="16" t="inlineStr">
        <is>
          <t>Not Reviewed</t>
        </is>
      </c>
      <c r="I344" s="16" t="inlineStr"/>
      <c r="J344" s="20" t="inlineStr"/>
      <c r="K344" s="20" t="inlineStr"/>
      <c r="L344" s="16" t="inlineStr"/>
      <c r="M344" s="16" t="inlineStr"/>
      <c r="N344" s="16" t="inlineStr">
        <is>
          <t>CUI</t>
        </is>
      </c>
      <c r="O344" s="16" t="inlineStr"/>
      <c r="P344" s="16" t="inlineStr"/>
    </row>
    <row r="345">
      <c r="A345" s="16" t="inlineStr"/>
      <c r="B345" s="16" t="inlineStr"/>
      <c r="C345" s="16" t="inlineStr">
        <is>
          <t>Document</t>
        </is>
      </c>
      <c r="D345" s="16" t="inlineStr"/>
      <c r="E345" s="16" t="inlineStr"/>
      <c r="F345" s="16" t="inlineStr"/>
      <c r="G345" s="16" t="inlineStr">
        <is>
          <t>Not Started</t>
        </is>
      </c>
      <c r="H345" s="16" t="inlineStr">
        <is>
          <t>Not Reviewed</t>
        </is>
      </c>
      <c r="I345" s="16" t="inlineStr"/>
      <c r="J345" s="20" t="inlineStr"/>
      <c r="K345" s="20" t="inlineStr"/>
      <c r="L345" s="16" t="inlineStr"/>
      <c r="M345" s="16" t="inlineStr"/>
      <c r="N345" s="16" t="inlineStr">
        <is>
          <t>CUI</t>
        </is>
      </c>
      <c r="O345" s="16" t="inlineStr"/>
      <c r="P345" s="16" t="inlineStr"/>
    </row>
    <row r="346">
      <c r="A346" s="16" t="inlineStr"/>
      <c r="B346" s="16" t="inlineStr"/>
      <c r="C346" s="16" t="inlineStr">
        <is>
          <t>Document</t>
        </is>
      </c>
      <c r="D346" s="16" t="inlineStr"/>
      <c r="E346" s="16" t="inlineStr"/>
      <c r="F346" s="16" t="inlineStr"/>
      <c r="G346" s="16" t="inlineStr">
        <is>
          <t>Not Started</t>
        </is>
      </c>
      <c r="H346" s="16" t="inlineStr">
        <is>
          <t>Not Reviewed</t>
        </is>
      </c>
      <c r="I346" s="16" t="inlineStr"/>
      <c r="J346" s="20" t="inlineStr"/>
      <c r="K346" s="20" t="inlineStr"/>
      <c r="L346" s="16" t="inlineStr"/>
      <c r="M346" s="16" t="inlineStr"/>
      <c r="N346" s="16" t="inlineStr">
        <is>
          <t>CUI</t>
        </is>
      </c>
      <c r="O346" s="16" t="inlineStr"/>
      <c r="P346" s="16" t="inlineStr"/>
    </row>
    <row r="347">
      <c r="A347" s="16" t="inlineStr"/>
      <c r="B347" s="16" t="inlineStr"/>
      <c r="C347" s="16" t="inlineStr">
        <is>
          <t>Document</t>
        </is>
      </c>
      <c r="D347" s="16" t="inlineStr"/>
      <c r="E347" s="16" t="inlineStr"/>
      <c r="F347" s="16" t="inlineStr"/>
      <c r="G347" s="16" t="inlineStr">
        <is>
          <t>Not Started</t>
        </is>
      </c>
      <c r="H347" s="16" t="inlineStr">
        <is>
          <t>Not Reviewed</t>
        </is>
      </c>
      <c r="I347" s="16" t="inlineStr"/>
      <c r="J347" s="20" t="inlineStr"/>
      <c r="K347" s="20" t="inlineStr"/>
      <c r="L347" s="16" t="inlineStr"/>
      <c r="M347" s="16" t="inlineStr"/>
      <c r="N347" s="16" t="inlineStr">
        <is>
          <t>CUI</t>
        </is>
      </c>
      <c r="O347" s="16" t="inlineStr"/>
      <c r="P347" s="16" t="inlineStr"/>
    </row>
    <row r="348">
      <c r="A348" s="16" t="inlineStr"/>
      <c r="B348" s="16" t="inlineStr"/>
      <c r="C348" s="16" t="inlineStr">
        <is>
          <t>Document</t>
        </is>
      </c>
      <c r="D348" s="16" t="inlineStr"/>
      <c r="E348" s="16" t="inlineStr"/>
      <c r="F348" s="16" t="inlineStr"/>
      <c r="G348" s="16" t="inlineStr">
        <is>
          <t>Not Started</t>
        </is>
      </c>
      <c r="H348" s="16" t="inlineStr">
        <is>
          <t>Not Reviewed</t>
        </is>
      </c>
      <c r="I348" s="16" t="inlineStr"/>
      <c r="J348" s="20" t="inlineStr"/>
      <c r="K348" s="20" t="inlineStr"/>
      <c r="L348" s="16" t="inlineStr"/>
      <c r="M348" s="16" t="inlineStr"/>
      <c r="N348" s="16" t="inlineStr">
        <is>
          <t>CUI</t>
        </is>
      </c>
      <c r="O348" s="16" t="inlineStr"/>
      <c r="P348" s="16" t="inlineStr"/>
    </row>
    <row r="349">
      <c r="A349" s="16" t="inlineStr"/>
      <c r="B349" s="16" t="inlineStr"/>
      <c r="C349" s="16" t="inlineStr">
        <is>
          <t>Document</t>
        </is>
      </c>
      <c r="D349" s="16" t="inlineStr"/>
      <c r="E349" s="16" t="inlineStr"/>
      <c r="F349" s="16" t="inlineStr"/>
      <c r="G349" s="16" t="inlineStr">
        <is>
          <t>Not Started</t>
        </is>
      </c>
      <c r="H349" s="16" t="inlineStr">
        <is>
          <t>Not Reviewed</t>
        </is>
      </c>
      <c r="I349" s="16" t="inlineStr"/>
      <c r="J349" s="20" t="inlineStr"/>
      <c r="K349" s="20" t="inlineStr"/>
      <c r="L349" s="16" t="inlineStr"/>
      <c r="M349" s="16" t="inlineStr"/>
      <c r="N349" s="16" t="inlineStr">
        <is>
          <t>CUI</t>
        </is>
      </c>
      <c r="O349" s="16" t="inlineStr"/>
      <c r="P349" s="16" t="inlineStr"/>
    </row>
    <row r="350">
      <c r="A350" s="16" t="inlineStr"/>
      <c r="B350" s="16" t="inlineStr"/>
      <c r="C350" s="16" t="inlineStr">
        <is>
          <t>Document</t>
        </is>
      </c>
      <c r="D350" s="16" t="inlineStr"/>
      <c r="E350" s="16" t="inlineStr"/>
      <c r="F350" s="16" t="inlineStr"/>
      <c r="G350" s="16" t="inlineStr">
        <is>
          <t>Not Started</t>
        </is>
      </c>
      <c r="H350" s="16" t="inlineStr">
        <is>
          <t>Not Reviewed</t>
        </is>
      </c>
      <c r="I350" s="16" t="inlineStr"/>
      <c r="J350" s="20" t="inlineStr"/>
      <c r="K350" s="20" t="inlineStr"/>
      <c r="L350" s="16" t="inlineStr"/>
      <c r="M350" s="16" t="inlineStr"/>
      <c r="N350" s="16" t="inlineStr">
        <is>
          <t>CUI</t>
        </is>
      </c>
      <c r="O350" s="16" t="inlineStr"/>
      <c r="P350" s="16" t="inlineStr"/>
    </row>
    <row r="351">
      <c r="A351" s="16" t="inlineStr"/>
      <c r="B351" s="16" t="inlineStr"/>
      <c r="C351" s="16" t="inlineStr">
        <is>
          <t>Document</t>
        </is>
      </c>
      <c r="D351" s="16" t="inlineStr"/>
      <c r="E351" s="16" t="inlineStr"/>
      <c r="F351" s="16" t="inlineStr"/>
      <c r="G351" s="16" t="inlineStr">
        <is>
          <t>Not Started</t>
        </is>
      </c>
      <c r="H351" s="16" t="inlineStr">
        <is>
          <t>Not Reviewed</t>
        </is>
      </c>
      <c r="I351" s="16" t="inlineStr"/>
      <c r="J351" s="20" t="inlineStr"/>
      <c r="K351" s="20" t="inlineStr"/>
      <c r="L351" s="16" t="inlineStr"/>
      <c r="M351" s="16" t="inlineStr"/>
      <c r="N351" s="16" t="inlineStr">
        <is>
          <t>CUI</t>
        </is>
      </c>
      <c r="O351" s="16" t="inlineStr"/>
      <c r="P351" s="16" t="inlineStr"/>
    </row>
    <row r="352">
      <c r="A352" s="16" t="inlineStr"/>
      <c r="B352" s="16" t="inlineStr"/>
      <c r="C352" s="16" t="inlineStr">
        <is>
          <t>Document</t>
        </is>
      </c>
      <c r="D352" s="16" t="inlineStr"/>
      <c r="E352" s="16" t="inlineStr"/>
      <c r="F352" s="16" t="inlineStr"/>
      <c r="G352" s="16" t="inlineStr">
        <is>
          <t>Not Started</t>
        </is>
      </c>
      <c r="H352" s="16" t="inlineStr">
        <is>
          <t>Not Reviewed</t>
        </is>
      </c>
      <c r="I352" s="16" t="inlineStr"/>
      <c r="J352" s="20" t="inlineStr"/>
      <c r="K352" s="20" t="inlineStr"/>
      <c r="L352" s="16" t="inlineStr"/>
      <c r="M352" s="16" t="inlineStr"/>
      <c r="N352" s="16" t="inlineStr">
        <is>
          <t>CUI</t>
        </is>
      </c>
      <c r="O352" s="16" t="inlineStr"/>
      <c r="P352" s="16" t="inlineStr"/>
    </row>
    <row r="353">
      <c r="A353" s="16" t="inlineStr"/>
      <c r="B353" s="16" t="inlineStr"/>
      <c r="C353" s="16" t="inlineStr">
        <is>
          <t>Document</t>
        </is>
      </c>
      <c r="D353" s="16" t="inlineStr"/>
      <c r="E353" s="16" t="inlineStr"/>
      <c r="F353" s="16" t="inlineStr"/>
      <c r="G353" s="16" t="inlineStr">
        <is>
          <t>Not Started</t>
        </is>
      </c>
      <c r="H353" s="16" t="inlineStr">
        <is>
          <t>Not Reviewed</t>
        </is>
      </c>
      <c r="I353" s="16" t="inlineStr"/>
      <c r="J353" s="20" t="inlineStr"/>
      <c r="K353" s="20" t="inlineStr"/>
      <c r="L353" s="16" t="inlineStr"/>
      <c r="M353" s="16" t="inlineStr"/>
      <c r="N353" s="16" t="inlineStr">
        <is>
          <t>CUI</t>
        </is>
      </c>
      <c r="O353" s="16" t="inlineStr"/>
      <c r="P353" s="16" t="inlineStr"/>
    </row>
    <row r="354">
      <c r="A354" s="16" t="inlineStr"/>
      <c r="B354" s="16" t="inlineStr"/>
      <c r="C354" s="16" t="inlineStr">
        <is>
          <t>Document</t>
        </is>
      </c>
      <c r="D354" s="16" t="inlineStr"/>
      <c r="E354" s="16" t="inlineStr"/>
      <c r="F354" s="16" t="inlineStr"/>
      <c r="G354" s="16" t="inlineStr">
        <is>
          <t>Not Started</t>
        </is>
      </c>
      <c r="H354" s="16" t="inlineStr">
        <is>
          <t>Not Reviewed</t>
        </is>
      </c>
      <c r="I354" s="16" t="inlineStr"/>
      <c r="J354" s="20" t="inlineStr"/>
      <c r="K354" s="20" t="inlineStr"/>
      <c r="L354" s="16" t="inlineStr"/>
      <c r="M354" s="16" t="inlineStr"/>
      <c r="N354" s="16" t="inlineStr">
        <is>
          <t>CUI</t>
        </is>
      </c>
      <c r="O354" s="16" t="inlineStr"/>
      <c r="P354" s="16" t="inlineStr"/>
    </row>
    <row r="355">
      <c r="A355" s="16" t="inlineStr"/>
      <c r="B355" s="16" t="inlineStr"/>
      <c r="C355" s="16" t="inlineStr">
        <is>
          <t>Document</t>
        </is>
      </c>
      <c r="D355" s="16" t="inlineStr"/>
      <c r="E355" s="16" t="inlineStr"/>
      <c r="F355" s="16" t="inlineStr"/>
      <c r="G355" s="16" t="inlineStr">
        <is>
          <t>Not Started</t>
        </is>
      </c>
      <c r="H355" s="16" t="inlineStr">
        <is>
          <t>Not Reviewed</t>
        </is>
      </c>
      <c r="I355" s="16" t="inlineStr"/>
      <c r="J355" s="20" t="inlineStr"/>
      <c r="K355" s="20" t="inlineStr"/>
      <c r="L355" s="16" t="inlineStr"/>
      <c r="M355" s="16" t="inlineStr"/>
      <c r="N355" s="16" t="inlineStr">
        <is>
          <t>CUI</t>
        </is>
      </c>
      <c r="O355" s="16" t="inlineStr"/>
      <c r="P355" s="16" t="inlineStr"/>
    </row>
    <row r="356">
      <c r="A356" s="16" t="inlineStr"/>
      <c r="B356" s="16" t="inlineStr"/>
      <c r="C356" s="16" t="inlineStr">
        <is>
          <t>Document</t>
        </is>
      </c>
      <c r="D356" s="16" t="inlineStr"/>
      <c r="E356" s="16" t="inlineStr"/>
      <c r="F356" s="16" t="inlineStr"/>
      <c r="G356" s="16" t="inlineStr">
        <is>
          <t>Not Started</t>
        </is>
      </c>
      <c r="H356" s="16" t="inlineStr">
        <is>
          <t>Not Reviewed</t>
        </is>
      </c>
      <c r="I356" s="16" t="inlineStr"/>
      <c r="J356" s="20" t="inlineStr"/>
      <c r="K356" s="20" t="inlineStr"/>
      <c r="L356" s="16" t="inlineStr"/>
      <c r="M356" s="16" t="inlineStr"/>
      <c r="N356" s="16" t="inlineStr">
        <is>
          <t>CUI</t>
        </is>
      </c>
      <c r="O356" s="16" t="inlineStr"/>
      <c r="P356" s="16" t="inlineStr"/>
    </row>
    <row r="357">
      <c r="A357" s="16" t="inlineStr"/>
      <c r="B357" s="16" t="inlineStr"/>
      <c r="C357" s="16" t="inlineStr">
        <is>
          <t>Document</t>
        </is>
      </c>
      <c r="D357" s="16" t="inlineStr"/>
      <c r="E357" s="16" t="inlineStr"/>
      <c r="F357" s="16" t="inlineStr"/>
      <c r="G357" s="16" t="inlineStr">
        <is>
          <t>Not Started</t>
        </is>
      </c>
      <c r="H357" s="16" t="inlineStr">
        <is>
          <t>Not Reviewed</t>
        </is>
      </c>
      <c r="I357" s="16" t="inlineStr"/>
      <c r="J357" s="20" t="inlineStr"/>
      <c r="K357" s="20" t="inlineStr"/>
      <c r="L357" s="16" t="inlineStr"/>
      <c r="M357" s="16" t="inlineStr"/>
      <c r="N357" s="16" t="inlineStr">
        <is>
          <t>CUI</t>
        </is>
      </c>
      <c r="O357" s="16" t="inlineStr"/>
      <c r="P357" s="16" t="inlineStr"/>
    </row>
    <row r="358">
      <c r="A358" s="16" t="inlineStr"/>
      <c r="B358" s="16" t="inlineStr"/>
      <c r="C358" s="16" t="inlineStr">
        <is>
          <t>Document</t>
        </is>
      </c>
      <c r="D358" s="16" t="inlineStr"/>
      <c r="E358" s="16" t="inlineStr"/>
      <c r="F358" s="16" t="inlineStr"/>
      <c r="G358" s="16" t="inlineStr">
        <is>
          <t>Not Started</t>
        </is>
      </c>
      <c r="H358" s="16" t="inlineStr">
        <is>
          <t>Not Reviewed</t>
        </is>
      </c>
      <c r="I358" s="16" t="inlineStr"/>
      <c r="J358" s="20" t="inlineStr"/>
      <c r="K358" s="20" t="inlineStr"/>
      <c r="L358" s="16" t="inlineStr"/>
      <c r="M358" s="16" t="inlineStr"/>
      <c r="N358" s="16" t="inlineStr">
        <is>
          <t>CUI</t>
        </is>
      </c>
      <c r="O358" s="16" t="inlineStr"/>
      <c r="P358" s="16" t="inlineStr"/>
    </row>
    <row r="359">
      <c r="A359" s="16" t="inlineStr"/>
      <c r="B359" s="16" t="inlineStr"/>
      <c r="C359" s="16" t="inlineStr">
        <is>
          <t>Document</t>
        </is>
      </c>
      <c r="D359" s="16" t="inlineStr"/>
      <c r="E359" s="16" t="inlineStr"/>
      <c r="F359" s="16" t="inlineStr"/>
      <c r="G359" s="16" t="inlineStr">
        <is>
          <t>Not Started</t>
        </is>
      </c>
      <c r="H359" s="16" t="inlineStr">
        <is>
          <t>Not Reviewed</t>
        </is>
      </c>
      <c r="I359" s="16" t="inlineStr"/>
      <c r="J359" s="20" t="inlineStr"/>
      <c r="K359" s="20" t="inlineStr"/>
      <c r="L359" s="16" t="inlineStr"/>
      <c r="M359" s="16" t="inlineStr"/>
      <c r="N359" s="16" t="inlineStr">
        <is>
          <t>CUI</t>
        </is>
      </c>
      <c r="O359" s="16" t="inlineStr"/>
      <c r="P359" s="16" t="inlineStr"/>
    </row>
    <row r="360">
      <c r="A360" s="16" t="inlineStr"/>
      <c r="B360" s="16" t="inlineStr"/>
      <c r="C360" s="16" t="inlineStr">
        <is>
          <t>Document</t>
        </is>
      </c>
      <c r="D360" s="16" t="inlineStr"/>
      <c r="E360" s="16" t="inlineStr"/>
      <c r="F360" s="16" t="inlineStr"/>
      <c r="G360" s="16" t="inlineStr">
        <is>
          <t>Not Started</t>
        </is>
      </c>
      <c r="H360" s="16" t="inlineStr">
        <is>
          <t>Not Reviewed</t>
        </is>
      </c>
      <c r="I360" s="16" t="inlineStr"/>
      <c r="J360" s="20" t="inlineStr"/>
      <c r="K360" s="20" t="inlineStr"/>
      <c r="L360" s="16" t="inlineStr"/>
      <c r="M360" s="16" t="inlineStr"/>
      <c r="N360" s="16" t="inlineStr">
        <is>
          <t>CUI</t>
        </is>
      </c>
      <c r="O360" s="16" t="inlineStr"/>
      <c r="P360" s="16" t="inlineStr"/>
    </row>
    <row r="361">
      <c r="A361" s="16" t="inlineStr"/>
      <c r="B361" s="16" t="inlineStr"/>
      <c r="C361" s="16" t="inlineStr">
        <is>
          <t>Document</t>
        </is>
      </c>
      <c r="D361" s="16" t="inlineStr"/>
      <c r="E361" s="16" t="inlineStr"/>
      <c r="F361" s="16" t="inlineStr"/>
      <c r="G361" s="16" t="inlineStr">
        <is>
          <t>Not Started</t>
        </is>
      </c>
      <c r="H361" s="16" t="inlineStr">
        <is>
          <t>Not Reviewed</t>
        </is>
      </c>
      <c r="I361" s="16" t="inlineStr"/>
      <c r="J361" s="20" t="inlineStr"/>
      <c r="K361" s="20" t="inlineStr"/>
      <c r="L361" s="16" t="inlineStr"/>
      <c r="M361" s="16" t="inlineStr"/>
      <c r="N361" s="16" t="inlineStr">
        <is>
          <t>CUI</t>
        </is>
      </c>
      <c r="O361" s="16" t="inlineStr"/>
      <c r="P361" s="16" t="inlineStr"/>
    </row>
    <row r="362">
      <c r="A362" s="16" t="inlineStr"/>
      <c r="B362" s="16" t="inlineStr"/>
      <c r="C362" s="16" t="inlineStr">
        <is>
          <t>Document</t>
        </is>
      </c>
      <c r="D362" s="16" t="inlineStr"/>
      <c r="E362" s="16" t="inlineStr"/>
      <c r="F362" s="16" t="inlineStr"/>
      <c r="G362" s="16" t="inlineStr">
        <is>
          <t>Not Started</t>
        </is>
      </c>
      <c r="H362" s="16" t="inlineStr">
        <is>
          <t>Not Reviewed</t>
        </is>
      </c>
      <c r="I362" s="16" t="inlineStr"/>
      <c r="J362" s="20" t="inlineStr"/>
      <c r="K362" s="20" t="inlineStr"/>
      <c r="L362" s="16" t="inlineStr"/>
      <c r="M362" s="16" t="inlineStr"/>
      <c r="N362" s="16" t="inlineStr">
        <is>
          <t>CUI</t>
        </is>
      </c>
      <c r="O362" s="16" t="inlineStr"/>
      <c r="P362" s="16" t="inlineStr"/>
    </row>
    <row r="363">
      <c r="A363" s="16" t="inlineStr"/>
      <c r="B363" s="16" t="inlineStr"/>
      <c r="C363" s="16" t="inlineStr">
        <is>
          <t>Document</t>
        </is>
      </c>
      <c r="D363" s="16" t="inlineStr"/>
      <c r="E363" s="16" t="inlineStr"/>
      <c r="F363" s="16" t="inlineStr"/>
      <c r="G363" s="16" t="inlineStr">
        <is>
          <t>Not Started</t>
        </is>
      </c>
      <c r="H363" s="16" t="inlineStr">
        <is>
          <t>Not Reviewed</t>
        </is>
      </c>
      <c r="I363" s="16" t="inlineStr"/>
      <c r="J363" s="20" t="inlineStr"/>
      <c r="K363" s="20" t="inlineStr"/>
      <c r="L363" s="16" t="inlineStr"/>
      <c r="M363" s="16" t="inlineStr"/>
      <c r="N363" s="16" t="inlineStr">
        <is>
          <t>CUI</t>
        </is>
      </c>
      <c r="O363" s="16" t="inlineStr"/>
      <c r="P363" s="16" t="inlineStr"/>
    </row>
    <row r="364">
      <c r="A364" s="16" t="inlineStr"/>
      <c r="B364" s="16" t="inlineStr"/>
      <c r="C364" s="16" t="inlineStr">
        <is>
          <t>Document</t>
        </is>
      </c>
      <c r="D364" s="16" t="inlineStr"/>
      <c r="E364" s="16" t="inlineStr"/>
      <c r="F364" s="16" t="inlineStr"/>
      <c r="G364" s="16" t="inlineStr">
        <is>
          <t>Not Started</t>
        </is>
      </c>
      <c r="H364" s="16" t="inlineStr">
        <is>
          <t>Not Reviewed</t>
        </is>
      </c>
      <c r="I364" s="16" t="inlineStr"/>
      <c r="J364" s="20" t="inlineStr"/>
      <c r="K364" s="20" t="inlineStr"/>
      <c r="L364" s="16" t="inlineStr"/>
      <c r="M364" s="16" t="inlineStr"/>
      <c r="N364" s="16" t="inlineStr">
        <is>
          <t>CUI</t>
        </is>
      </c>
      <c r="O364" s="16" t="inlineStr"/>
      <c r="P364" s="16" t="inlineStr"/>
    </row>
    <row r="365">
      <c r="A365" s="16" t="inlineStr"/>
      <c r="B365" s="16" t="inlineStr"/>
      <c r="C365" s="16" t="inlineStr">
        <is>
          <t>Document</t>
        </is>
      </c>
      <c r="D365" s="16" t="inlineStr"/>
      <c r="E365" s="16" t="inlineStr"/>
      <c r="F365" s="16" t="inlineStr"/>
      <c r="G365" s="16" t="inlineStr">
        <is>
          <t>Not Started</t>
        </is>
      </c>
      <c r="H365" s="16" t="inlineStr">
        <is>
          <t>Not Reviewed</t>
        </is>
      </c>
      <c r="I365" s="16" t="inlineStr"/>
      <c r="J365" s="20" t="inlineStr"/>
      <c r="K365" s="20" t="inlineStr"/>
      <c r="L365" s="16" t="inlineStr"/>
      <c r="M365" s="16" t="inlineStr"/>
      <c r="N365" s="16" t="inlineStr">
        <is>
          <t>CUI</t>
        </is>
      </c>
      <c r="O365" s="16" t="inlineStr"/>
      <c r="P365" s="16" t="inlineStr"/>
    </row>
    <row r="366">
      <c r="A366" s="16" t="inlineStr"/>
      <c r="B366" s="16" t="inlineStr"/>
      <c r="C366" s="16" t="inlineStr">
        <is>
          <t>Document</t>
        </is>
      </c>
      <c r="D366" s="16" t="inlineStr"/>
      <c r="E366" s="16" t="inlineStr"/>
      <c r="F366" s="16" t="inlineStr"/>
      <c r="G366" s="16" t="inlineStr">
        <is>
          <t>Not Started</t>
        </is>
      </c>
      <c r="H366" s="16" t="inlineStr">
        <is>
          <t>Not Reviewed</t>
        </is>
      </c>
      <c r="I366" s="16" t="inlineStr"/>
      <c r="J366" s="20" t="inlineStr"/>
      <c r="K366" s="20" t="inlineStr"/>
      <c r="L366" s="16" t="inlineStr"/>
      <c r="M366" s="16" t="inlineStr"/>
      <c r="N366" s="16" t="inlineStr">
        <is>
          <t>CUI</t>
        </is>
      </c>
      <c r="O366" s="16" t="inlineStr"/>
      <c r="P366" s="16" t="inlineStr"/>
    </row>
    <row r="367">
      <c r="A367" s="16" t="inlineStr"/>
      <c r="B367" s="16" t="inlineStr"/>
      <c r="C367" s="16" t="inlineStr">
        <is>
          <t>Document</t>
        </is>
      </c>
      <c r="D367" s="16" t="inlineStr"/>
      <c r="E367" s="16" t="inlineStr"/>
      <c r="F367" s="16" t="inlineStr"/>
      <c r="G367" s="16" t="inlineStr">
        <is>
          <t>Not Started</t>
        </is>
      </c>
      <c r="H367" s="16" t="inlineStr">
        <is>
          <t>Not Reviewed</t>
        </is>
      </c>
      <c r="I367" s="16" t="inlineStr"/>
      <c r="J367" s="20" t="inlineStr"/>
      <c r="K367" s="20" t="inlineStr"/>
      <c r="L367" s="16" t="inlineStr"/>
      <c r="M367" s="16" t="inlineStr"/>
      <c r="N367" s="16" t="inlineStr">
        <is>
          <t>CUI</t>
        </is>
      </c>
      <c r="O367" s="16" t="inlineStr"/>
      <c r="P367" s="16" t="inlineStr"/>
    </row>
    <row r="368">
      <c r="A368" s="16" t="inlineStr"/>
      <c r="B368" s="16" t="inlineStr"/>
      <c r="C368" s="16" t="inlineStr">
        <is>
          <t>Document</t>
        </is>
      </c>
      <c r="D368" s="16" t="inlineStr"/>
      <c r="E368" s="16" t="inlineStr"/>
      <c r="F368" s="16" t="inlineStr"/>
      <c r="G368" s="16" t="inlineStr">
        <is>
          <t>Not Started</t>
        </is>
      </c>
      <c r="H368" s="16" t="inlineStr">
        <is>
          <t>Not Reviewed</t>
        </is>
      </c>
      <c r="I368" s="16" t="inlineStr"/>
      <c r="J368" s="20" t="inlineStr"/>
      <c r="K368" s="20" t="inlineStr"/>
      <c r="L368" s="16" t="inlineStr"/>
      <c r="M368" s="16" t="inlineStr"/>
      <c r="N368" s="16" t="inlineStr">
        <is>
          <t>CUI</t>
        </is>
      </c>
      <c r="O368" s="16" t="inlineStr"/>
      <c r="P368" s="16" t="inlineStr"/>
    </row>
    <row r="369">
      <c r="A369" s="16" t="inlineStr"/>
      <c r="B369" s="16" t="inlineStr"/>
      <c r="C369" s="16" t="inlineStr">
        <is>
          <t>Document</t>
        </is>
      </c>
      <c r="D369" s="16" t="inlineStr"/>
      <c r="E369" s="16" t="inlineStr"/>
      <c r="F369" s="16" t="inlineStr"/>
      <c r="G369" s="16" t="inlineStr">
        <is>
          <t>Not Started</t>
        </is>
      </c>
      <c r="H369" s="16" t="inlineStr">
        <is>
          <t>Not Reviewed</t>
        </is>
      </c>
      <c r="I369" s="16" t="inlineStr"/>
      <c r="J369" s="20" t="inlineStr"/>
      <c r="K369" s="20" t="inlineStr"/>
      <c r="L369" s="16" t="inlineStr"/>
      <c r="M369" s="16" t="inlineStr"/>
      <c r="N369" s="16" t="inlineStr">
        <is>
          <t>CUI</t>
        </is>
      </c>
      <c r="O369" s="16" t="inlineStr"/>
      <c r="P369" s="16" t="inlineStr"/>
    </row>
    <row r="370">
      <c r="A370" s="16" t="inlineStr"/>
      <c r="B370" s="16" t="inlineStr"/>
      <c r="C370" s="16" t="inlineStr">
        <is>
          <t>Document</t>
        </is>
      </c>
      <c r="D370" s="16" t="inlineStr"/>
      <c r="E370" s="16" t="inlineStr"/>
      <c r="F370" s="16" t="inlineStr"/>
      <c r="G370" s="16" t="inlineStr">
        <is>
          <t>Not Started</t>
        </is>
      </c>
      <c r="H370" s="16" t="inlineStr">
        <is>
          <t>Not Reviewed</t>
        </is>
      </c>
      <c r="I370" s="16" t="inlineStr"/>
      <c r="J370" s="20" t="inlineStr"/>
      <c r="K370" s="20" t="inlineStr"/>
      <c r="L370" s="16" t="inlineStr"/>
      <c r="M370" s="16" t="inlineStr"/>
      <c r="N370" s="16" t="inlineStr">
        <is>
          <t>CUI</t>
        </is>
      </c>
      <c r="O370" s="16" t="inlineStr"/>
      <c r="P370" s="16" t="inlineStr"/>
    </row>
    <row r="371">
      <c r="A371" s="16" t="inlineStr"/>
      <c r="B371" s="16" t="inlineStr"/>
      <c r="C371" s="16" t="inlineStr">
        <is>
          <t>Document</t>
        </is>
      </c>
      <c r="D371" s="16" t="inlineStr"/>
      <c r="E371" s="16" t="inlineStr"/>
      <c r="F371" s="16" t="inlineStr"/>
      <c r="G371" s="16" t="inlineStr">
        <is>
          <t>Not Started</t>
        </is>
      </c>
      <c r="H371" s="16" t="inlineStr">
        <is>
          <t>Not Reviewed</t>
        </is>
      </c>
      <c r="I371" s="16" t="inlineStr"/>
      <c r="J371" s="20" t="inlineStr"/>
      <c r="K371" s="20" t="inlineStr"/>
      <c r="L371" s="16" t="inlineStr"/>
      <c r="M371" s="16" t="inlineStr"/>
      <c r="N371" s="16" t="inlineStr">
        <is>
          <t>CUI</t>
        </is>
      </c>
      <c r="O371" s="16" t="inlineStr"/>
      <c r="P371" s="16" t="inlineStr"/>
    </row>
    <row r="372">
      <c r="A372" s="16" t="inlineStr"/>
      <c r="B372" s="16" t="inlineStr"/>
      <c r="C372" s="16" t="inlineStr">
        <is>
          <t>Document</t>
        </is>
      </c>
      <c r="D372" s="16" t="inlineStr"/>
      <c r="E372" s="16" t="inlineStr"/>
      <c r="F372" s="16" t="inlineStr"/>
      <c r="G372" s="16" t="inlineStr">
        <is>
          <t>Not Started</t>
        </is>
      </c>
      <c r="H372" s="16" t="inlineStr">
        <is>
          <t>Not Reviewed</t>
        </is>
      </c>
      <c r="I372" s="16" t="inlineStr"/>
      <c r="J372" s="20" t="inlineStr"/>
      <c r="K372" s="20" t="inlineStr"/>
      <c r="L372" s="16" t="inlineStr"/>
      <c r="M372" s="16" t="inlineStr"/>
      <c r="N372" s="16" t="inlineStr">
        <is>
          <t>CUI</t>
        </is>
      </c>
      <c r="O372" s="16" t="inlineStr"/>
      <c r="P372" s="16" t="inlineStr"/>
    </row>
    <row r="373">
      <c r="A373" s="16" t="inlineStr"/>
      <c r="B373" s="16" t="inlineStr"/>
      <c r="C373" s="16" t="inlineStr">
        <is>
          <t>Document</t>
        </is>
      </c>
      <c r="D373" s="16" t="inlineStr"/>
      <c r="E373" s="16" t="inlineStr"/>
      <c r="F373" s="16" t="inlineStr"/>
      <c r="G373" s="16" t="inlineStr">
        <is>
          <t>Not Started</t>
        </is>
      </c>
      <c r="H373" s="16" t="inlineStr">
        <is>
          <t>Not Reviewed</t>
        </is>
      </c>
      <c r="I373" s="16" t="inlineStr"/>
      <c r="J373" s="20" t="inlineStr"/>
      <c r="K373" s="20" t="inlineStr"/>
      <c r="L373" s="16" t="inlineStr"/>
      <c r="M373" s="16" t="inlineStr"/>
      <c r="N373" s="16" t="inlineStr">
        <is>
          <t>CUI</t>
        </is>
      </c>
      <c r="O373" s="16" t="inlineStr"/>
      <c r="P373" s="16" t="inlineStr"/>
    </row>
    <row r="374">
      <c r="A374" s="16" t="inlineStr"/>
      <c r="B374" s="16" t="inlineStr"/>
      <c r="C374" s="16" t="inlineStr">
        <is>
          <t>Document</t>
        </is>
      </c>
      <c r="D374" s="16" t="inlineStr"/>
      <c r="E374" s="16" t="inlineStr"/>
      <c r="F374" s="16" t="inlineStr"/>
      <c r="G374" s="16" t="inlineStr">
        <is>
          <t>Not Started</t>
        </is>
      </c>
      <c r="H374" s="16" t="inlineStr">
        <is>
          <t>Not Reviewed</t>
        </is>
      </c>
      <c r="I374" s="16" t="inlineStr"/>
      <c r="J374" s="20" t="inlineStr"/>
      <c r="K374" s="20" t="inlineStr"/>
      <c r="L374" s="16" t="inlineStr"/>
      <c r="M374" s="16" t="inlineStr"/>
      <c r="N374" s="16" t="inlineStr">
        <is>
          <t>CUI</t>
        </is>
      </c>
      <c r="O374" s="16" t="inlineStr"/>
      <c r="P374" s="16" t="inlineStr"/>
    </row>
    <row r="375">
      <c r="A375" s="16" t="inlineStr"/>
      <c r="B375" s="16" t="inlineStr"/>
      <c r="C375" s="16" t="inlineStr">
        <is>
          <t>Document</t>
        </is>
      </c>
      <c r="D375" s="16" t="inlineStr"/>
      <c r="E375" s="16" t="inlineStr"/>
      <c r="F375" s="16" t="inlineStr"/>
      <c r="G375" s="16" t="inlineStr">
        <is>
          <t>Not Started</t>
        </is>
      </c>
      <c r="H375" s="16" t="inlineStr">
        <is>
          <t>Not Reviewed</t>
        </is>
      </c>
      <c r="I375" s="16" t="inlineStr"/>
      <c r="J375" s="20" t="inlineStr"/>
      <c r="K375" s="20" t="inlineStr"/>
      <c r="L375" s="16" t="inlineStr"/>
      <c r="M375" s="16" t="inlineStr"/>
      <c r="N375" s="16" t="inlineStr">
        <is>
          <t>CUI</t>
        </is>
      </c>
      <c r="O375" s="16" t="inlineStr"/>
      <c r="P375" s="16" t="inlineStr"/>
    </row>
    <row r="376">
      <c r="A376" s="16" t="inlineStr"/>
      <c r="B376" s="16" t="inlineStr"/>
      <c r="C376" s="16" t="inlineStr">
        <is>
          <t>Document</t>
        </is>
      </c>
      <c r="D376" s="16" t="inlineStr"/>
      <c r="E376" s="16" t="inlineStr"/>
      <c r="F376" s="16" t="inlineStr"/>
      <c r="G376" s="16" t="inlineStr">
        <is>
          <t>Not Started</t>
        </is>
      </c>
      <c r="H376" s="16" t="inlineStr">
        <is>
          <t>Not Reviewed</t>
        </is>
      </c>
      <c r="I376" s="16" t="inlineStr"/>
      <c r="J376" s="20" t="inlineStr"/>
      <c r="K376" s="20" t="inlineStr"/>
      <c r="L376" s="16" t="inlineStr"/>
      <c r="M376" s="16" t="inlineStr"/>
      <c r="N376" s="16" t="inlineStr">
        <is>
          <t>CUI</t>
        </is>
      </c>
      <c r="O376" s="16" t="inlineStr"/>
      <c r="P376" s="16" t="inlineStr"/>
    </row>
    <row r="377">
      <c r="A377" s="16" t="inlineStr"/>
      <c r="B377" s="16" t="inlineStr"/>
      <c r="C377" s="16" t="inlineStr">
        <is>
          <t>Document</t>
        </is>
      </c>
      <c r="D377" s="16" t="inlineStr"/>
      <c r="E377" s="16" t="inlineStr"/>
      <c r="F377" s="16" t="inlineStr"/>
      <c r="G377" s="16" t="inlineStr">
        <is>
          <t>Not Started</t>
        </is>
      </c>
      <c r="H377" s="16" t="inlineStr">
        <is>
          <t>Not Reviewed</t>
        </is>
      </c>
      <c r="I377" s="16" t="inlineStr"/>
      <c r="J377" s="20" t="inlineStr"/>
      <c r="K377" s="20" t="inlineStr"/>
      <c r="L377" s="16" t="inlineStr"/>
      <c r="M377" s="16" t="inlineStr"/>
      <c r="N377" s="16" t="inlineStr">
        <is>
          <t>CUI</t>
        </is>
      </c>
      <c r="O377" s="16" t="inlineStr"/>
      <c r="P377" s="16" t="inlineStr"/>
    </row>
    <row r="378">
      <c r="A378" s="16" t="inlineStr"/>
      <c r="B378" s="16" t="inlineStr"/>
      <c r="C378" s="16" t="inlineStr">
        <is>
          <t>Document</t>
        </is>
      </c>
      <c r="D378" s="16" t="inlineStr"/>
      <c r="E378" s="16" t="inlineStr"/>
      <c r="F378" s="16" t="inlineStr"/>
      <c r="G378" s="16" t="inlineStr">
        <is>
          <t>Not Started</t>
        </is>
      </c>
      <c r="H378" s="16" t="inlineStr">
        <is>
          <t>Not Reviewed</t>
        </is>
      </c>
      <c r="I378" s="16" t="inlineStr"/>
      <c r="J378" s="20" t="inlineStr"/>
      <c r="K378" s="20" t="inlineStr"/>
      <c r="L378" s="16" t="inlineStr"/>
      <c r="M378" s="16" t="inlineStr"/>
      <c r="N378" s="16" t="inlineStr">
        <is>
          <t>CUI</t>
        </is>
      </c>
      <c r="O378" s="16" t="inlineStr"/>
      <c r="P378" s="16" t="inlineStr"/>
    </row>
    <row r="379">
      <c r="A379" s="16" t="inlineStr"/>
      <c r="B379" s="16" t="inlineStr"/>
      <c r="C379" s="16" t="inlineStr">
        <is>
          <t>Document</t>
        </is>
      </c>
      <c r="D379" s="16" t="inlineStr"/>
      <c r="E379" s="16" t="inlineStr"/>
      <c r="F379" s="16" t="inlineStr"/>
      <c r="G379" s="16" t="inlineStr">
        <is>
          <t>Not Started</t>
        </is>
      </c>
      <c r="H379" s="16" t="inlineStr">
        <is>
          <t>Not Reviewed</t>
        </is>
      </c>
      <c r="I379" s="16" t="inlineStr"/>
      <c r="J379" s="20" t="inlineStr"/>
      <c r="K379" s="20" t="inlineStr"/>
      <c r="L379" s="16" t="inlineStr"/>
      <c r="M379" s="16" t="inlineStr"/>
      <c r="N379" s="16" t="inlineStr">
        <is>
          <t>CUI</t>
        </is>
      </c>
      <c r="O379" s="16" t="inlineStr"/>
      <c r="P379" s="16" t="inlineStr"/>
    </row>
    <row r="380">
      <c r="A380" s="16" t="inlineStr"/>
      <c r="B380" s="16" t="inlineStr"/>
      <c r="C380" s="16" t="inlineStr">
        <is>
          <t>Document</t>
        </is>
      </c>
      <c r="D380" s="16" t="inlineStr"/>
      <c r="E380" s="16" t="inlineStr"/>
      <c r="F380" s="16" t="inlineStr"/>
      <c r="G380" s="16" t="inlineStr">
        <is>
          <t>Not Started</t>
        </is>
      </c>
      <c r="H380" s="16" t="inlineStr">
        <is>
          <t>Not Reviewed</t>
        </is>
      </c>
      <c r="I380" s="16" t="inlineStr"/>
      <c r="J380" s="20" t="inlineStr"/>
      <c r="K380" s="20" t="inlineStr"/>
      <c r="L380" s="16" t="inlineStr"/>
      <c r="M380" s="16" t="inlineStr"/>
      <c r="N380" s="16" t="inlineStr">
        <is>
          <t>CUI</t>
        </is>
      </c>
      <c r="O380" s="16" t="inlineStr"/>
      <c r="P380" s="16" t="inlineStr"/>
    </row>
    <row r="381">
      <c r="A381" s="16" t="inlineStr"/>
      <c r="B381" s="16" t="inlineStr"/>
      <c r="C381" s="16" t="inlineStr">
        <is>
          <t>Document</t>
        </is>
      </c>
      <c r="D381" s="16" t="inlineStr"/>
      <c r="E381" s="16" t="inlineStr"/>
      <c r="F381" s="16" t="inlineStr"/>
      <c r="G381" s="16" t="inlineStr">
        <is>
          <t>Not Started</t>
        </is>
      </c>
      <c r="H381" s="16" t="inlineStr">
        <is>
          <t>Not Reviewed</t>
        </is>
      </c>
      <c r="I381" s="16" t="inlineStr"/>
      <c r="J381" s="20" t="inlineStr"/>
      <c r="K381" s="20" t="inlineStr"/>
      <c r="L381" s="16" t="inlineStr"/>
      <c r="M381" s="16" t="inlineStr"/>
      <c r="N381" s="16" t="inlineStr">
        <is>
          <t>CUI</t>
        </is>
      </c>
      <c r="O381" s="16" t="inlineStr"/>
      <c r="P381" s="16" t="inlineStr"/>
    </row>
    <row r="382">
      <c r="A382" s="16" t="inlineStr"/>
      <c r="B382" s="16" t="inlineStr"/>
      <c r="C382" s="16" t="inlineStr">
        <is>
          <t>Document</t>
        </is>
      </c>
      <c r="D382" s="16" t="inlineStr"/>
      <c r="E382" s="16" t="inlineStr"/>
      <c r="F382" s="16" t="inlineStr"/>
      <c r="G382" s="16" t="inlineStr">
        <is>
          <t>Not Started</t>
        </is>
      </c>
      <c r="H382" s="16" t="inlineStr">
        <is>
          <t>Not Reviewed</t>
        </is>
      </c>
      <c r="I382" s="16" t="inlineStr"/>
      <c r="J382" s="20" t="inlineStr"/>
      <c r="K382" s="20" t="inlineStr"/>
      <c r="L382" s="16" t="inlineStr"/>
      <c r="M382" s="16" t="inlineStr"/>
      <c r="N382" s="16" t="inlineStr">
        <is>
          <t>CUI</t>
        </is>
      </c>
      <c r="O382" s="16" t="inlineStr"/>
      <c r="P382" s="16" t="inlineStr"/>
    </row>
    <row r="383">
      <c r="A383" s="16" t="inlineStr"/>
      <c r="B383" s="16" t="inlineStr"/>
      <c r="C383" s="16" t="inlineStr">
        <is>
          <t>Document</t>
        </is>
      </c>
      <c r="D383" s="16" t="inlineStr"/>
      <c r="E383" s="16" t="inlineStr"/>
      <c r="F383" s="16" t="inlineStr"/>
      <c r="G383" s="16" t="inlineStr">
        <is>
          <t>Not Started</t>
        </is>
      </c>
      <c r="H383" s="16" t="inlineStr">
        <is>
          <t>Not Reviewed</t>
        </is>
      </c>
      <c r="I383" s="16" t="inlineStr"/>
      <c r="J383" s="20" t="inlineStr"/>
      <c r="K383" s="20" t="inlineStr"/>
      <c r="L383" s="16" t="inlineStr"/>
      <c r="M383" s="16" t="inlineStr"/>
      <c r="N383" s="16" t="inlineStr">
        <is>
          <t>CUI</t>
        </is>
      </c>
      <c r="O383" s="16" t="inlineStr"/>
      <c r="P383" s="16" t="inlineStr"/>
    </row>
    <row r="384">
      <c r="A384" s="16" t="inlineStr"/>
      <c r="B384" s="16" t="inlineStr"/>
      <c r="C384" s="16" t="inlineStr">
        <is>
          <t>Document</t>
        </is>
      </c>
      <c r="D384" s="16" t="inlineStr"/>
      <c r="E384" s="16" t="inlineStr"/>
      <c r="F384" s="16" t="inlineStr"/>
      <c r="G384" s="16" t="inlineStr">
        <is>
          <t>Not Started</t>
        </is>
      </c>
      <c r="H384" s="16" t="inlineStr">
        <is>
          <t>Not Reviewed</t>
        </is>
      </c>
      <c r="I384" s="16" t="inlineStr"/>
      <c r="J384" s="20" t="inlineStr"/>
      <c r="K384" s="20" t="inlineStr"/>
      <c r="L384" s="16" t="inlineStr"/>
      <c r="M384" s="16" t="inlineStr"/>
      <c r="N384" s="16" t="inlineStr">
        <is>
          <t>CUI</t>
        </is>
      </c>
      <c r="O384" s="16" t="inlineStr"/>
      <c r="P384" s="16" t="inlineStr"/>
    </row>
    <row r="385">
      <c r="A385" s="16" t="inlineStr"/>
      <c r="B385" s="16" t="inlineStr"/>
      <c r="C385" s="16" t="inlineStr">
        <is>
          <t>Document</t>
        </is>
      </c>
      <c r="D385" s="16" t="inlineStr"/>
      <c r="E385" s="16" t="inlineStr"/>
      <c r="F385" s="16" t="inlineStr"/>
      <c r="G385" s="16" t="inlineStr">
        <is>
          <t>Not Started</t>
        </is>
      </c>
      <c r="H385" s="16" t="inlineStr">
        <is>
          <t>Not Reviewed</t>
        </is>
      </c>
      <c r="I385" s="16" t="inlineStr"/>
      <c r="J385" s="20" t="inlineStr"/>
      <c r="K385" s="20" t="inlineStr"/>
      <c r="L385" s="16" t="inlineStr"/>
      <c r="M385" s="16" t="inlineStr"/>
      <c r="N385" s="16" t="inlineStr">
        <is>
          <t>CUI</t>
        </is>
      </c>
      <c r="O385" s="16" t="inlineStr"/>
      <c r="P385" s="16" t="inlineStr"/>
    </row>
    <row r="386">
      <c r="A386" s="16" t="inlineStr"/>
      <c r="B386" s="16" t="inlineStr"/>
      <c r="C386" s="16" t="inlineStr">
        <is>
          <t>Document</t>
        </is>
      </c>
      <c r="D386" s="16" t="inlineStr"/>
      <c r="E386" s="16" t="inlineStr"/>
      <c r="F386" s="16" t="inlineStr"/>
      <c r="G386" s="16" t="inlineStr">
        <is>
          <t>Not Started</t>
        </is>
      </c>
      <c r="H386" s="16" t="inlineStr">
        <is>
          <t>Not Reviewed</t>
        </is>
      </c>
      <c r="I386" s="16" t="inlineStr"/>
      <c r="J386" s="20" t="inlineStr"/>
      <c r="K386" s="20" t="inlineStr"/>
      <c r="L386" s="16" t="inlineStr"/>
      <c r="M386" s="16" t="inlineStr"/>
      <c r="N386" s="16" t="inlineStr">
        <is>
          <t>CUI</t>
        </is>
      </c>
      <c r="O386" s="16" t="inlineStr"/>
      <c r="P386" s="16" t="inlineStr"/>
    </row>
    <row r="387">
      <c r="A387" s="16" t="inlineStr"/>
      <c r="B387" s="16" t="inlineStr"/>
      <c r="C387" s="16" t="inlineStr">
        <is>
          <t>Document</t>
        </is>
      </c>
      <c r="D387" s="16" t="inlineStr"/>
      <c r="E387" s="16" t="inlineStr"/>
      <c r="F387" s="16" t="inlineStr"/>
      <c r="G387" s="16" t="inlineStr">
        <is>
          <t>Not Started</t>
        </is>
      </c>
      <c r="H387" s="16" t="inlineStr">
        <is>
          <t>Not Reviewed</t>
        </is>
      </c>
      <c r="I387" s="16" t="inlineStr"/>
      <c r="J387" s="20" t="inlineStr"/>
      <c r="K387" s="20" t="inlineStr"/>
      <c r="L387" s="16" t="inlineStr"/>
      <c r="M387" s="16" t="inlineStr"/>
      <c r="N387" s="16" t="inlineStr">
        <is>
          <t>CUI</t>
        </is>
      </c>
      <c r="O387" s="16" t="inlineStr"/>
      <c r="P387" s="16" t="inlineStr"/>
    </row>
    <row r="388">
      <c r="A388" s="16" t="inlineStr"/>
      <c r="B388" s="16" t="inlineStr"/>
      <c r="C388" s="16" t="inlineStr">
        <is>
          <t>Document</t>
        </is>
      </c>
      <c r="D388" s="16" t="inlineStr"/>
      <c r="E388" s="16" t="inlineStr"/>
      <c r="F388" s="16" t="inlineStr"/>
      <c r="G388" s="16" t="inlineStr">
        <is>
          <t>Not Started</t>
        </is>
      </c>
      <c r="H388" s="16" t="inlineStr">
        <is>
          <t>Not Reviewed</t>
        </is>
      </c>
      <c r="I388" s="16" t="inlineStr"/>
      <c r="J388" s="20" t="inlineStr"/>
      <c r="K388" s="20" t="inlineStr"/>
      <c r="L388" s="16" t="inlineStr"/>
      <c r="M388" s="16" t="inlineStr"/>
      <c r="N388" s="16" t="inlineStr">
        <is>
          <t>CUI</t>
        </is>
      </c>
      <c r="O388" s="16" t="inlineStr"/>
      <c r="P388" s="16" t="inlineStr"/>
    </row>
    <row r="389">
      <c r="A389" s="16" t="inlineStr"/>
      <c r="B389" s="16" t="inlineStr"/>
      <c r="C389" s="16" t="inlineStr">
        <is>
          <t>Document</t>
        </is>
      </c>
      <c r="D389" s="16" t="inlineStr"/>
      <c r="E389" s="16" t="inlineStr"/>
      <c r="F389" s="16" t="inlineStr"/>
      <c r="G389" s="16" t="inlineStr">
        <is>
          <t>Not Started</t>
        </is>
      </c>
      <c r="H389" s="16" t="inlineStr">
        <is>
          <t>Not Reviewed</t>
        </is>
      </c>
      <c r="I389" s="16" t="inlineStr"/>
      <c r="J389" s="20" t="inlineStr"/>
      <c r="K389" s="20" t="inlineStr"/>
      <c r="L389" s="16" t="inlineStr"/>
      <c r="M389" s="16" t="inlineStr"/>
      <c r="N389" s="16" t="inlineStr">
        <is>
          <t>CUI</t>
        </is>
      </c>
      <c r="O389" s="16" t="inlineStr"/>
      <c r="P389" s="16" t="inlineStr"/>
    </row>
    <row r="390">
      <c r="A390" s="16" t="inlineStr"/>
      <c r="B390" s="16" t="inlineStr"/>
      <c r="C390" s="16" t="inlineStr">
        <is>
          <t>Document</t>
        </is>
      </c>
      <c r="D390" s="16" t="inlineStr"/>
      <c r="E390" s="16" t="inlineStr"/>
      <c r="F390" s="16" t="inlineStr"/>
      <c r="G390" s="16" t="inlineStr">
        <is>
          <t>Not Started</t>
        </is>
      </c>
      <c r="H390" s="16" t="inlineStr">
        <is>
          <t>Not Reviewed</t>
        </is>
      </c>
      <c r="I390" s="16" t="inlineStr"/>
      <c r="J390" s="20" t="inlineStr"/>
      <c r="K390" s="20" t="inlineStr"/>
      <c r="L390" s="16" t="inlineStr"/>
      <c r="M390" s="16" t="inlineStr"/>
      <c r="N390" s="16" t="inlineStr">
        <is>
          <t>CUI</t>
        </is>
      </c>
      <c r="O390" s="16" t="inlineStr"/>
      <c r="P390" s="16" t="inlineStr"/>
    </row>
    <row r="391">
      <c r="A391" s="16" t="inlineStr"/>
      <c r="B391" s="16" t="inlineStr"/>
      <c r="C391" s="16" t="inlineStr">
        <is>
          <t>Document</t>
        </is>
      </c>
      <c r="D391" s="16" t="inlineStr"/>
      <c r="E391" s="16" t="inlineStr"/>
      <c r="F391" s="16" t="inlineStr"/>
      <c r="G391" s="16" t="inlineStr">
        <is>
          <t>Not Started</t>
        </is>
      </c>
      <c r="H391" s="16" t="inlineStr">
        <is>
          <t>Not Reviewed</t>
        </is>
      </c>
      <c r="I391" s="16" t="inlineStr"/>
      <c r="J391" s="20" t="inlineStr"/>
      <c r="K391" s="20" t="inlineStr"/>
      <c r="L391" s="16" t="inlineStr"/>
      <c r="M391" s="16" t="inlineStr"/>
      <c r="N391" s="16" t="inlineStr">
        <is>
          <t>CUI</t>
        </is>
      </c>
      <c r="O391" s="16" t="inlineStr"/>
      <c r="P391" s="16" t="inlineStr"/>
    </row>
    <row r="392">
      <c r="A392" s="16" t="inlineStr"/>
      <c r="B392" s="16" t="inlineStr"/>
      <c r="C392" s="16" t="inlineStr">
        <is>
          <t>Document</t>
        </is>
      </c>
      <c r="D392" s="16" t="inlineStr"/>
      <c r="E392" s="16" t="inlineStr"/>
      <c r="F392" s="16" t="inlineStr"/>
      <c r="G392" s="16" t="inlineStr">
        <is>
          <t>Not Started</t>
        </is>
      </c>
      <c r="H392" s="16" t="inlineStr">
        <is>
          <t>Not Reviewed</t>
        </is>
      </c>
      <c r="I392" s="16" t="inlineStr"/>
      <c r="J392" s="20" t="inlineStr"/>
      <c r="K392" s="20" t="inlineStr"/>
      <c r="L392" s="16" t="inlineStr"/>
      <c r="M392" s="16" t="inlineStr"/>
      <c r="N392" s="16" t="inlineStr">
        <is>
          <t>CUI</t>
        </is>
      </c>
      <c r="O392" s="16" t="inlineStr"/>
      <c r="P392" s="16" t="inlineStr"/>
    </row>
    <row r="393">
      <c r="A393" s="16" t="inlineStr"/>
      <c r="B393" s="16" t="inlineStr"/>
      <c r="C393" s="16" t="inlineStr">
        <is>
          <t>Document</t>
        </is>
      </c>
      <c r="D393" s="16" t="inlineStr"/>
      <c r="E393" s="16" t="inlineStr"/>
      <c r="F393" s="16" t="inlineStr"/>
      <c r="G393" s="16" t="inlineStr">
        <is>
          <t>Not Started</t>
        </is>
      </c>
      <c r="H393" s="16" t="inlineStr">
        <is>
          <t>Not Reviewed</t>
        </is>
      </c>
      <c r="I393" s="16" t="inlineStr"/>
      <c r="J393" s="20" t="inlineStr"/>
      <c r="K393" s="20" t="inlineStr"/>
      <c r="L393" s="16" t="inlineStr"/>
      <c r="M393" s="16" t="inlineStr"/>
      <c r="N393" s="16" t="inlineStr">
        <is>
          <t>CUI</t>
        </is>
      </c>
      <c r="O393" s="16" t="inlineStr"/>
      <c r="P393" s="16" t="inlineStr"/>
    </row>
    <row r="394">
      <c r="A394" s="16" t="inlineStr"/>
      <c r="B394" s="16" t="inlineStr"/>
      <c r="C394" s="16" t="inlineStr">
        <is>
          <t>Document</t>
        </is>
      </c>
      <c r="D394" s="16" t="inlineStr"/>
      <c r="E394" s="16" t="inlineStr"/>
      <c r="F394" s="16" t="inlineStr"/>
      <c r="G394" s="16" t="inlineStr">
        <is>
          <t>Not Started</t>
        </is>
      </c>
      <c r="H394" s="16" t="inlineStr">
        <is>
          <t>Not Reviewed</t>
        </is>
      </c>
      <c r="I394" s="16" t="inlineStr"/>
      <c r="J394" s="20" t="inlineStr"/>
      <c r="K394" s="20" t="inlineStr"/>
      <c r="L394" s="16" t="inlineStr"/>
      <c r="M394" s="16" t="inlineStr"/>
      <c r="N394" s="16" t="inlineStr">
        <is>
          <t>CUI</t>
        </is>
      </c>
      <c r="O394" s="16" t="inlineStr"/>
      <c r="P394" s="16" t="inlineStr"/>
    </row>
    <row r="395">
      <c r="A395" s="16" t="inlineStr"/>
      <c r="B395" s="16" t="inlineStr"/>
      <c r="C395" s="16" t="inlineStr">
        <is>
          <t>Document</t>
        </is>
      </c>
      <c r="D395" s="16" t="inlineStr"/>
      <c r="E395" s="16" t="inlineStr"/>
      <c r="F395" s="16" t="inlineStr"/>
      <c r="G395" s="16" t="inlineStr">
        <is>
          <t>Not Started</t>
        </is>
      </c>
      <c r="H395" s="16" t="inlineStr">
        <is>
          <t>Not Reviewed</t>
        </is>
      </c>
      <c r="I395" s="16" t="inlineStr"/>
      <c r="J395" s="20" t="inlineStr"/>
      <c r="K395" s="20" t="inlineStr"/>
      <c r="L395" s="16" t="inlineStr"/>
      <c r="M395" s="16" t="inlineStr"/>
      <c r="N395" s="16" t="inlineStr">
        <is>
          <t>CUI</t>
        </is>
      </c>
      <c r="O395" s="16" t="inlineStr"/>
      <c r="P395" s="16" t="inlineStr"/>
    </row>
    <row r="396">
      <c r="A396" s="16" t="inlineStr"/>
      <c r="B396" s="16" t="inlineStr"/>
      <c r="C396" s="16" t="inlineStr">
        <is>
          <t>Document</t>
        </is>
      </c>
      <c r="D396" s="16" t="inlineStr"/>
      <c r="E396" s="16" t="inlineStr"/>
      <c r="F396" s="16" t="inlineStr"/>
      <c r="G396" s="16" t="inlineStr">
        <is>
          <t>Not Started</t>
        </is>
      </c>
      <c r="H396" s="16" t="inlineStr">
        <is>
          <t>Not Reviewed</t>
        </is>
      </c>
      <c r="I396" s="16" t="inlineStr"/>
      <c r="J396" s="20" t="inlineStr"/>
      <c r="K396" s="20" t="inlineStr"/>
      <c r="L396" s="16" t="inlineStr"/>
      <c r="M396" s="16" t="inlineStr"/>
      <c r="N396" s="16" t="inlineStr">
        <is>
          <t>CUI</t>
        </is>
      </c>
      <c r="O396" s="16" t="inlineStr"/>
      <c r="P396" s="16" t="inlineStr"/>
    </row>
    <row r="397">
      <c r="A397" s="16" t="inlineStr"/>
      <c r="B397" s="16" t="inlineStr"/>
      <c r="C397" s="16" t="inlineStr">
        <is>
          <t>Document</t>
        </is>
      </c>
      <c r="D397" s="16" t="inlineStr"/>
      <c r="E397" s="16" t="inlineStr"/>
      <c r="F397" s="16" t="inlineStr"/>
      <c r="G397" s="16" t="inlineStr">
        <is>
          <t>Not Started</t>
        </is>
      </c>
      <c r="H397" s="16" t="inlineStr">
        <is>
          <t>Not Reviewed</t>
        </is>
      </c>
      <c r="I397" s="16" t="inlineStr"/>
      <c r="J397" s="20" t="inlineStr"/>
      <c r="K397" s="20" t="inlineStr"/>
      <c r="L397" s="16" t="inlineStr"/>
      <c r="M397" s="16" t="inlineStr"/>
      <c r="N397" s="16" t="inlineStr">
        <is>
          <t>CUI</t>
        </is>
      </c>
      <c r="O397" s="16" t="inlineStr"/>
      <c r="P397" s="16" t="inlineStr"/>
    </row>
    <row r="398">
      <c r="A398" s="16" t="inlineStr"/>
      <c r="B398" s="16" t="inlineStr"/>
      <c r="C398" s="16" t="inlineStr">
        <is>
          <t>Document</t>
        </is>
      </c>
      <c r="D398" s="16" t="inlineStr"/>
      <c r="E398" s="16" t="inlineStr"/>
      <c r="F398" s="16" t="inlineStr"/>
      <c r="G398" s="16" t="inlineStr">
        <is>
          <t>Not Started</t>
        </is>
      </c>
      <c r="H398" s="16" t="inlineStr">
        <is>
          <t>Not Reviewed</t>
        </is>
      </c>
      <c r="I398" s="16" t="inlineStr"/>
      <c r="J398" s="20" t="inlineStr"/>
      <c r="K398" s="20" t="inlineStr"/>
      <c r="L398" s="16" t="inlineStr"/>
      <c r="M398" s="16" t="inlineStr"/>
      <c r="N398" s="16" t="inlineStr">
        <is>
          <t>CUI</t>
        </is>
      </c>
      <c r="O398" s="16" t="inlineStr"/>
      <c r="P398" s="16" t="inlineStr"/>
    </row>
    <row r="399">
      <c r="A399" s="16" t="inlineStr"/>
      <c r="B399" s="16" t="inlineStr"/>
      <c r="C399" s="16" t="inlineStr">
        <is>
          <t>Document</t>
        </is>
      </c>
      <c r="D399" s="16" t="inlineStr"/>
      <c r="E399" s="16" t="inlineStr"/>
      <c r="F399" s="16" t="inlineStr"/>
      <c r="G399" s="16" t="inlineStr">
        <is>
          <t>Not Started</t>
        </is>
      </c>
      <c r="H399" s="16" t="inlineStr">
        <is>
          <t>Not Reviewed</t>
        </is>
      </c>
      <c r="I399" s="16" t="inlineStr"/>
      <c r="J399" s="20" t="inlineStr"/>
      <c r="K399" s="20" t="inlineStr"/>
      <c r="L399" s="16" t="inlineStr"/>
      <c r="M399" s="16" t="inlineStr"/>
      <c r="N399" s="16" t="inlineStr">
        <is>
          <t>CUI</t>
        </is>
      </c>
      <c r="O399" s="16" t="inlineStr"/>
      <c r="P399" s="16" t="inlineStr"/>
    </row>
    <row r="400">
      <c r="A400" s="16" t="inlineStr"/>
      <c r="B400" s="16" t="inlineStr"/>
      <c r="C400" s="16" t="inlineStr">
        <is>
          <t>Document</t>
        </is>
      </c>
      <c r="D400" s="16" t="inlineStr"/>
      <c r="E400" s="16" t="inlineStr"/>
      <c r="F400" s="16" t="inlineStr"/>
      <c r="G400" s="16" t="inlineStr">
        <is>
          <t>Not Started</t>
        </is>
      </c>
      <c r="H400" s="16" t="inlineStr">
        <is>
          <t>Not Reviewed</t>
        </is>
      </c>
      <c r="I400" s="16" t="inlineStr"/>
      <c r="J400" s="20" t="inlineStr"/>
      <c r="K400" s="20" t="inlineStr"/>
      <c r="L400" s="16" t="inlineStr"/>
      <c r="M400" s="16" t="inlineStr"/>
      <c r="N400" s="16" t="inlineStr">
        <is>
          <t>CUI</t>
        </is>
      </c>
      <c r="O400" s="16" t="inlineStr"/>
      <c r="P400" s="16" t="inlineStr"/>
    </row>
    <row r="401">
      <c r="A401" s="16" t="inlineStr"/>
      <c r="B401" s="16" t="inlineStr"/>
      <c r="C401" s="16" t="inlineStr">
        <is>
          <t>Document</t>
        </is>
      </c>
      <c r="D401" s="16" t="inlineStr"/>
      <c r="E401" s="16" t="inlineStr"/>
      <c r="F401" s="16" t="inlineStr"/>
      <c r="G401" s="16" t="inlineStr">
        <is>
          <t>Not Started</t>
        </is>
      </c>
      <c r="H401" s="16" t="inlineStr">
        <is>
          <t>Not Reviewed</t>
        </is>
      </c>
      <c r="I401" s="16" t="inlineStr"/>
      <c r="J401" s="20" t="inlineStr"/>
      <c r="K401" s="20" t="inlineStr"/>
      <c r="L401" s="16" t="inlineStr"/>
      <c r="M401" s="16" t="inlineStr"/>
      <c r="N401" s="16" t="inlineStr">
        <is>
          <t>CUI</t>
        </is>
      </c>
      <c r="O401" s="16" t="inlineStr"/>
      <c r="P401" s="16" t="inlineStr"/>
    </row>
    <row r="402">
      <c r="A402" s="16" t="inlineStr"/>
      <c r="B402" s="16" t="inlineStr"/>
      <c r="C402" s="16" t="inlineStr">
        <is>
          <t>Document</t>
        </is>
      </c>
      <c r="D402" s="16" t="inlineStr"/>
      <c r="E402" s="16" t="inlineStr"/>
      <c r="F402" s="16" t="inlineStr"/>
      <c r="G402" s="16" t="inlineStr">
        <is>
          <t>Not Started</t>
        </is>
      </c>
      <c r="H402" s="16" t="inlineStr">
        <is>
          <t>Not Reviewed</t>
        </is>
      </c>
      <c r="I402" s="16" t="inlineStr"/>
      <c r="J402" s="20" t="inlineStr"/>
      <c r="K402" s="20" t="inlineStr"/>
      <c r="L402" s="16" t="inlineStr"/>
      <c r="M402" s="16" t="inlineStr"/>
      <c r="N402" s="16" t="inlineStr">
        <is>
          <t>CUI</t>
        </is>
      </c>
      <c r="O402" s="16" t="inlineStr"/>
      <c r="P402" s="16" t="inlineStr"/>
    </row>
    <row r="403">
      <c r="A403" s="16" t="inlineStr"/>
      <c r="B403" s="16" t="inlineStr"/>
      <c r="C403" s="16" t="inlineStr">
        <is>
          <t>Document</t>
        </is>
      </c>
      <c r="D403" s="16" t="inlineStr"/>
      <c r="E403" s="16" t="inlineStr"/>
      <c r="F403" s="16" t="inlineStr"/>
      <c r="G403" s="16" t="inlineStr">
        <is>
          <t>Not Started</t>
        </is>
      </c>
      <c r="H403" s="16" t="inlineStr">
        <is>
          <t>Not Reviewed</t>
        </is>
      </c>
      <c r="I403" s="16" t="inlineStr"/>
      <c r="J403" s="20" t="inlineStr"/>
      <c r="K403" s="20" t="inlineStr"/>
      <c r="L403" s="16" t="inlineStr"/>
      <c r="M403" s="16" t="inlineStr"/>
      <c r="N403" s="16" t="inlineStr">
        <is>
          <t>CUI</t>
        </is>
      </c>
      <c r="O403" s="16" t="inlineStr"/>
      <c r="P403" s="16" t="inlineStr"/>
    </row>
    <row r="404">
      <c r="A404" s="16" t="inlineStr"/>
      <c r="B404" s="16" t="inlineStr"/>
      <c r="C404" s="16" t="inlineStr">
        <is>
          <t>Document</t>
        </is>
      </c>
      <c r="D404" s="16" t="inlineStr"/>
      <c r="E404" s="16" t="inlineStr"/>
      <c r="F404" s="16" t="inlineStr"/>
      <c r="G404" s="16" t="inlineStr">
        <is>
          <t>Not Started</t>
        </is>
      </c>
      <c r="H404" s="16" t="inlineStr">
        <is>
          <t>Not Reviewed</t>
        </is>
      </c>
      <c r="I404" s="16" t="inlineStr"/>
      <c r="J404" s="20" t="inlineStr"/>
      <c r="K404" s="20" t="inlineStr"/>
      <c r="L404" s="16" t="inlineStr"/>
      <c r="M404" s="16" t="inlineStr"/>
      <c r="N404" s="16" t="inlineStr">
        <is>
          <t>CUI</t>
        </is>
      </c>
      <c r="O404" s="16" t="inlineStr"/>
      <c r="P404" s="16" t="inlineStr"/>
    </row>
    <row r="405">
      <c r="A405" s="16" t="inlineStr"/>
      <c r="B405" s="16" t="inlineStr"/>
      <c r="C405" s="16" t="inlineStr">
        <is>
          <t>Document</t>
        </is>
      </c>
      <c r="D405" s="16" t="inlineStr"/>
      <c r="E405" s="16" t="inlineStr"/>
      <c r="F405" s="16" t="inlineStr"/>
      <c r="G405" s="16" t="inlineStr">
        <is>
          <t>Not Started</t>
        </is>
      </c>
      <c r="H405" s="16" t="inlineStr">
        <is>
          <t>Not Reviewed</t>
        </is>
      </c>
      <c r="I405" s="16" t="inlineStr"/>
      <c r="J405" s="20" t="inlineStr"/>
      <c r="K405" s="20" t="inlineStr"/>
      <c r="L405" s="16" t="inlineStr"/>
      <c r="M405" s="16" t="inlineStr"/>
      <c r="N405" s="16" t="inlineStr">
        <is>
          <t>CUI</t>
        </is>
      </c>
      <c r="O405" s="16" t="inlineStr"/>
      <c r="P405" s="16" t="inlineStr"/>
    </row>
    <row r="406">
      <c r="A406" s="16" t="inlineStr"/>
      <c r="B406" s="16" t="inlineStr"/>
      <c r="C406" s="16" t="inlineStr">
        <is>
          <t>Document</t>
        </is>
      </c>
      <c r="D406" s="16" t="inlineStr"/>
      <c r="E406" s="16" t="inlineStr"/>
      <c r="F406" s="16" t="inlineStr"/>
      <c r="G406" s="16" t="inlineStr">
        <is>
          <t>Not Started</t>
        </is>
      </c>
      <c r="H406" s="16" t="inlineStr">
        <is>
          <t>Not Reviewed</t>
        </is>
      </c>
      <c r="I406" s="16" t="inlineStr"/>
      <c r="J406" s="20" t="inlineStr"/>
      <c r="K406" s="20" t="inlineStr"/>
      <c r="L406" s="16" t="inlineStr"/>
      <c r="M406" s="16" t="inlineStr"/>
      <c r="N406" s="16" t="inlineStr">
        <is>
          <t>CUI</t>
        </is>
      </c>
      <c r="O406" s="16" t="inlineStr"/>
      <c r="P406" s="16" t="inlineStr"/>
    </row>
    <row r="407">
      <c r="A407" s="16" t="inlineStr"/>
      <c r="B407" s="16" t="inlineStr"/>
      <c r="C407" s="16" t="inlineStr">
        <is>
          <t>Document</t>
        </is>
      </c>
      <c r="D407" s="16" t="inlineStr"/>
      <c r="E407" s="16" t="inlineStr"/>
      <c r="F407" s="16" t="inlineStr"/>
      <c r="G407" s="16" t="inlineStr">
        <is>
          <t>Not Started</t>
        </is>
      </c>
      <c r="H407" s="16" t="inlineStr">
        <is>
          <t>Not Reviewed</t>
        </is>
      </c>
      <c r="I407" s="16" t="inlineStr"/>
      <c r="J407" s="20" t="inlineStr"/>
      <c r="K407" s="20" t="inlineStr"/>
      <c r="L407" s="16" t="inlineStr"/>
      <c r="M407" s="16" t="inlineStr"/>
      <c r="N407" s="16" t="inlineStr">
        <is>
          <t>CUI</t>
        </is>
      </c>
      <c r="O407" s="16" t="inlineStr"/>
      <c r="P407" s="16" t="inlineStr"/>
    </row>
    <row r="408">
      <c r="A408" s="16" t="inlineStr"/>
      <c r="B408" s="16" t="inlineStr"/>
      <c r="C408" s="16" t="inlineStr">
        <is>
          <t>Document</t>
        </is>
      </c>
      <c r="D408" s="16" t="inlineStr"/>
      <c r="E408" s="16" t="inlineStr"/>
      <c r="F408" s="16" t="inlineStr"/>
      <c r="G408" s="16" t="inlineStr">
        <is>
          <t>Not Started</t>
        </is>
      </c>
      <c r="H408" s="16" t="inlineStr">
        <is>
          <t>Not Reviewed</t>
        </is>
      </c>
      <c r="I408" s="16" t="inlineStr"/>
      <c r="J408" s="20" t="inlineStr"/>
      <c r="K408" s="20" t="inlineStr"/>
      <c r="L408" s="16" t="inlineStr"/>
      <c r="M408" s="16" t="inlineStr"/>
      <c r="N408" s="16" t="inlineStr">
        <is>
          <t>CUI</t>
        </is>
      </c>
      <c r="O408" s="16" t="inlineStr"/>
      <c r="P408" s="16" t="inlineStr"/>
    </row>
    <row r="409">
      <c r="A409" s="16" t="inlineStr"/>
      <c r="B409" s="16" t="inlineStr"/>
      <c r="C409" s="16" t="inlineStr">
        <is>
          <t>Document</t>
        </is>
      </c>
      <c r="D409" s="16" t="inlineStr"/>
      <c r="E409" s="16" t="inlineStr"/>
      <c r="F409" s="16" t="inlineStr"/>
      <c r="G409" s="16" t="inlineStr">
        <is>
          <t>Not Started</t>
        </is>
      </c>
      <c r="H409" s="16" t="inlineStr">
        <is>
          <t>Not Reviewed</t>
        </is>
      </c>
      <c r="I409" s="16" t="inlineStr"/>
      <c r="J409" s="20" t="inlineStr"/>
      <c r="K409" s="20" t="inlineStr"/>
      <c r="L409" s="16" t="inlineStr"/>
      <c r="M409" s="16" t="inlineStr"/>
      <c r="N409" s="16" t="inlineStr">
        <is>
          <t>CUI</t>
        </is>
      </c>
      <c r="O409" s="16" t="inlineStr"/>
      <c r="P409" s="16" t="inlineStr"/>
    </row>
    <row r="410">
      <c r="A410" s="16" t="inlineStr"/>
      <c r="B410" s="16" t="inlineStr"/>
      <c r="C410" s="16" t="inlineStr">
        <is>
          <t>Document</t>
        </is>
      </c>
      <c r="D410" s="16" t="inlineStr"/>
      <c r="E410" s="16" t="inlineStr"/>
      <c r="F410" s="16" t="inlineStr"/>
      <c r="G410" s="16" t="inlineStr">
        <is>
          <t>Not Started</t>
        </is>
      </c>
      <c r="H410" s="16" t="inlineStr">
        <is>
          <t>Not Reviewed</t>
        </is>
      </c>
      <c r="I410" s="16" t="inlineStr"/>
      <c r="J410" s="20" t="inlineStr"/>
      <c r="K410" s="20" t="inlineStr"/>
      <c r="L410" s="16" t="inlineStr"/>
      <c r="M410" s="16" t="inlineStr"/>
      <c r="N410" s="16" t="inlineStr">
        <is>
          <t>CUI</t>
        </is>
      </c>
      <c r="O410" s="16" t="inlineStr"/>
      <c r="P410" s="16" t="inlineStr"/>
    </row>
    <row r="411">
      <c r="A411" s="16" t="inlineStr"/>
      <c r="B411" s="16" t="inlineStr"/>
      <c r="C411" s="16" t="inlineStr">
        <is>
          <t>Document</t>
        </is>
      </c>
      <c r="D411" s="16" t="inlineStr"/>
      <c r="E411" s="16" t="inlineStr"/>
      <c r="F411" s="16" t="inlineStr"/>
      <c r="G411" s="16" t="inlineStr">
        <is>
          <t>Not Started</t>
        </is>
      </c>
      <c r="H411" s="16" t="inlineStr">
        <is>
          <t>Not Reviewed</t>
        </is>
      </c>
      <c r="I411" s="16" t="inlineStr"/>
      <c r="J411" s="20" t="inlineStr"/>
      <c r="K411" s="20" t="inlineStr"/>
      <c r="L411" s="16" t="inlineStr"/>
      <c r="M411" s="16" t="inlineStr"/>
      <c r="N411" s="16" t="inlineStr">
        <is>
          <t>CUI</t>
        </is>
      </c>
      <c r="O411" s="16" t="inlineStr"/>
      <c r="P411" s="16" t="inlineStr"/>
    </row>
    <row r="412">
      <c r="A412" s="16" t="inlineStr"/>
      <c r="B412" s="16" t="inlineStr"/>
      <c r="C412" s="16" t="inlineStr">
        <is>
          <t>Document</t>
        </is>
      </c>
      <c r="D412" s="16" t="inlineStr"/>
      <c r="E412" s="16" t="inlineStr"/>
      <c r="F412" s="16" t="inlineStr"/>
      <c r="G412" s="16" t="inlineStr">
        <is>
          <t>Not Started</t>
        </is>
      </c>
      <c r="H412" s="16" t="inlineStr">
        <is>
          <t>Not Reviewed</t>
        </is>
      </c>
      <c r="I412" s="16" t="inlineStr"/>
      <c r="J412" s="20" t="inlineStr"/>
      <c r="K412" s="20" t="inlineStr"/>
      <c r="L412" s="16" t="inlineStr"/>
      <c r="M412" s="16" t="inlineStr"/>
      <c r="N412" s="16" t="inlineStr">
        <is>
          <t>CUI</t>
        </is>
      </c>
      <c r="O412" s="16" t="inlineStr"/>
      <c r="P412" s="16" t="inlineStr"/>
    </row>
    <row r="413">
      <c r="A413" s="16" t="inlineStr"/>
      <c r="B413" s="16" t="inlineStr"/>
      <c r="C413" s="16" t="inlineStr">
        <is>
          <t>Document</t>
        </is>
      </c>
      <c r="D413" s="16" t="inlineStr"/>
      <c r="E413" s="16" t="inlineStr"/>
      <c r="F413" s="16" t="inlineStr"/>
      <c r="G413" s="16" t="inlineStr">
        <is>
          <t>Not Started</t>
        </is>
      </c>
      <c r="H413" s="16" t="inlineStr">
        <is>
          <t>Not Reviewed</t>
        </is>
      </c>
      <c r="I413" s="16" t="inlineStr"/>
      <c r="J413" s="20" t="inlineStr"/>
      <c r="K413" s="20" t="inlineStr"/>
      <c r="L413" s="16" t="inlineStr"/>
      <c r="M413" s="16" t="inlineStr"/>
      <c r="N413" s="16" t="inlineStr">
        <is>
          <t>CUI</t>
        </is>
      </c>
      <c r="O413" s="16" t="inlineStr"/>
      <c r="P413" s="16" t="inlineStr"/>
    </row>
    <row r="414">
      <c r="A414" s="16" t="inlineStr"/>
      <c r="B414" s="16" t="inlineStr"/>
      <c r="C414" s="16" t="inlineStr">
        <is>
          <t>Document</t>
        </is>
      </c>
      <c r="D414" s="16" t="inlineStr"/>
      <c r="E414" s="16" t="inlineStr"/>
      <c r="F414" s="16" t="inlineStr"/>
      <c r="G414" s="16" t="inlineStr">
        <is>
          <t>Not Started</t>
        </is>
      </c>
      <c r="H414" s="16" t="inlineStr">
        <is>
          <t>Not Reviewed</t>
        </is>
      </c>
      <c r="I414" s="16" t="inlineStr"/>
      <c r="J414" s="20" t="inlineStr"/>
      <c r="K414" s="20" t="inlineStr"/>
      <c r="L414" s="16" t="inlineStr"/>
      <c r="M414" s="16" t="inlineStr"/>
      <c r="N414" s="16" t="inlineStr">
        <is>
          <t>CUI</t>
        </is>
      </c>
      <c r="O414" s="16" t="inlineStr"/>
      <c r="P414" s="16" t="inlineStr"/>
    </row>
    <row r="415">
      <c r="A415" s="16" t="inlineStr"/>
      <c r="B415" s="16" t="inlineStr"/>
      <c r="C415" s="16" t="inlineStr">
        <is>
          <t>Document</t>
        </is>
      </c>
      <c r="D415" s="16" t="inlineStr"/>
      <c r="E415" s="16" t="inlineStr"/>
      <c r="F415" s="16" t="inlineStr"/>
      <c r="G415" s="16" t="inlineStr">
        <is>
          <t>Not Started</t>
        </is>
      </c>
      <c r="H415" s="16" t="inlineStr">
        <is>
          <t>Not Reviewed</t>
        </is>
      </c>
      <c r="I415" s="16" t="inlineStr"/>
      <c r="J415" s="20" t="inlineStr"/>
      <c r="K415" s="20" t="inlineStr"/>
      <c r="L415" s="16" t="inlineStr"/>
      <c r="M415" s="16" t="inlineStr"/>
      <c r="N415" s="16" t="inlineStr">
        <is>
          <t>CUI</t>
        </is>
      </c>
      <c r="O415" s="16" t="inlineStr"/>
      <c r="P415" s="16" t="inlineStr"/>
    </row>
    <row r="416">
      <c r="A416" s="16" t="inlineStr"/>
      <c r="B416" s="16" t="inlineStr"/>
      <c r="C416" s="16" t="inlineStr">
        <is>
          <t>Document</t>
        </is>
      </c>
      <c r="D416" s="16" t="inlineStr"/>
      <c r="E416" s="16" t="inlineStr"/>
      <c r="F416" s="16" t="inlineStr"/>
      <c r="G416" s="16" t="inlineStr">
        <is>
          <t>Not Started</t>
        </is>
      </c>
      <c r="H416" s="16" t="inlineStr">
        <is>
          <t>Not Reviewed</t>
        </is>
      </c>
      <c r="I416" s="16" t="inlineStr"/>
      <c r="J416" s="20" t="inlineStr"/>
      <c r="K416" s="20" t="inlineStr"/>
      <c r="L416" s="16" t="inlineStr"/>
      <c r="M416" s="16" t="inlineStr"/>
      <c r="N416" s="16" t="inlineStr">
        <is>
          <t>CUI</t>
        </is>
      </c>
      <c r="O416" s="16" t="inlineStr"/>
      <c r="P416" s="16" t="inlineStr"/>
    </row>
    <row r="417">
      <c r="A417" s="16" t="inlineStr"/>
      <c r="B417" s="16" t="inlineStr"/>
      <c r="C417" s="16" t="inlineStr">
        <is>
          <t>Document</t>
        </is>
      </c>
      <c r="D417" s="16" t="inlineStr"/>
      <c r="E417" s="16" t="inlineStr"/>
      <c r="F417" s="16" t="inlineStr"/>
      <c r="G417" s="16" t="inlineStr">
        <is>
          <t>Not Started</t>
        </is>
      </c>
      <c r="H417" s="16" t="inlineStr">
        <is>
          <t>Not Reviewed</t>
        </is>
      </c>
      <c r="I417" s="16" t="inlineStr"/>
      <c r="J417" s="20" t="inlineStr"/>
      <c r="K417" s="20" t="inlineStr"/>
      <c r="L417" s="16" t="inlineStr"/>
      <c r="M417" s="16" t="inlineStr"/>
      <c r="N417" s="16" t="inlineStr">
        <is>
          <t>CUI</t>
        </is>
      </c>
      <c r="O417" s="16" t="inlineStr"/>
      <c r="P417" s="16" t="inlineStr"/>
    </row>
    <row r="418">
      <c r="A418" s="16" t="inlineStr"/>
      <c r="B418" s="16" t="inlineStr"/>
      <c r="C418" s="16" t="inlineStr">
        <is>
          <t>Document</t>
        </is>
      </c>
      <c r="D418" s="16" t="inlineStr"/>
      <c r="E418" s="16" t="inlineStr"/>
      <c r="F418" s="16" t="inlineStr"/>
      <c r="G418" s="16" t="inlineStr">
        <is>
          <t>Not Started</t>
        </is>
      </c>
      <c r="H418" s="16" t="inlineStr">
        <is>
          <t>Not Reviewed</t>
        </is>
      </c>
      <c r="I418" s="16" t="inlineStr"/>
      <c r="J418" s="20" t="inlineStr"/>
      <c r="K418" s="20" t="inlineStr"/>
      <c r="L418" s="16" t="inlineStr"/>
      <c r="M418" s="16" t="inlineStr"/>
      <c r="N418" s="16" t="inlineStr">
        <is>
          <t>CUI</t>
        </is>
      </c>
      <c r="O418" s="16" t="inlineStr"/>
      <c r="P418" s="16" t="inlineStr"/>
    </row>
    <row r="419">
      <c r="A419" s="16" t="inlineStr"/>
      <c r="B419" s="16" t="inlineStr"/>
      <c r="C419" s="16" t="inlineStr">
        <is>
          <t>Document</t>
        </is>
      </c>
      <c r="D419" s="16" t="inlineStr"/>
      <c r="E419" s="16" t="inlineStr"/>
      <c r="F419" s="16" t="inlineStr"/>
      <c r="G419" s="16" t="inlineStr">
        <is>
          <t>Not Started</t>
        </is>
      </c>
      <c r="H419" s="16" t="inlineStr">
        <is>
          <t>Not Reviewed</t>
        </is>
      </c>
      <c r="I419" s="16" t="inlineStr"/>
      <c r="J419" s="20" t="inlineStr"/>
      <c r="K419" s="20" t="inlineStr"/>
      <c r="L419" s="16" t="inlineStr"/>
      <c r="M419" s="16" t="inlineStr"/>
      <c r="N419" s="16" t="inlineStr">
        <is>
          <t>CUI</t>
        </is>
      </c>
      <c r="O419" s="16" t="inlineStr"/>
      <c r="P419" s="16" t="inlineStr"/>
    </row>
    <row r="420">
      <c r="A420" s="16" t="inlineStr"/>
      <c r="B420" s="16" t="inlineStr"/>
      <c r="C420" s="16" t="inlineStr">
        <is>
          <t>Document</t>
        </is>
      </c>
      <c r="D420" s="16" t="inlineStr"/>
      <c r="E420" s="16" t="inlineStr"/>
      <c r="F420" s="16" t="inlineStr"/>
      <c r="G420" s="16" t="inlineStr">
        <is>
          <t>Not Started</t>
        </is>
      </c>
      <c r="H420" s="16" t="inlineStr">
        <is>
          <t>Not Reviewed</t>
        </is>
      </c>
      <c r="I420" s="16" t="inlineStr"/>
      <c r="J420" s="20" t="inlineStr"/>
      <c r="K420" s="20" t="inlineStr"/>
      <c r="L420" s="16" t="inlineStr"/>
      <c r="M420" s="16" t="inlineStr"/>
      <c r="N420" s="16" t="inlineStr">
        <is>
          <t>CUI</t>
        </is>
      </c>
      <c r="O420" s="16" t="inlineStr"/>
      <c r="P420" s="16" t="inlineStr"/>
    </row>
    <row r="421">
      <c r="A421" s="16" t="inlineStr"/>
      <c r="B421" s="16" t="inlineStr"/>
      <c r="C421" s="16" t="inlineStr">
        <is>
          <t>Document</t>
        </is>
      </c>
      <c r="D421" s="16" t="inlineStr"/>
      <c r="E421" s="16" t="inlineStr"/>
      <c r="F421" s="16" t="inlineStr"/>
      <c r="G421" s="16" t="inlineStr">
        <is>
          <t>Not Started</t>
        </is>
      </c>
      <c r="H421" s="16" t="inlineStr">
        <is>
          <t>Not Reviewed</t>
        </is>
      </c>
      <c r="I421" s="16" t="inlineStr"/>
      <c r="J421" s="20" t="inlineStr"/>
      <c r="K421" s="20" t="inlineStr"/>
      <c r="L421" s="16" t="inlineStr"/>
      <c r="M421" s="16" t="inlineStr"/>
      <c r="N421" s="16" t="inlineStr">
        <is>
          <t>CUI</t>
        </is>
      </c>
      <c r="O421" s="16" t="inlineStr"/>
      <c r="P421" s="16" t="inlineStr"/>
    </row>
    <row r="422">
      <c r="A422" s="16" t="inlineStr"/>
      <c r="B422" s="16" t="inlineStr"/>
      <c r="C422" s="16" t="inlineStr">
        <is>
          <t>Document</t>
        </is>
      </c>
      <c r="D422" s="16" t="inlineStr"/>
      <c r="E422" s="16" t="inlineStr"/>
      <c r="F422" s="16" t="inlineStr"/>
      <c r="G422" s="16" t="inlineStr">
        <is>
          <t>Not Started</t>
        </is>
      </c>
      <c r="H422" s="16" t="inlineStr">
        <is>
          <t>Not Reviewed</t>
        </is>
      </c>
      <c r="I422" s="16" t="inlineStr"/>
      <c r="J422" s="20" t="inlineStr"/>
      <c r="K422" s="20" t="inlineStr"/>
      <c r="L422" s="16" t="inlineStr"/>
      <c r="M422" s="16" t="inlineStr"/>
      <c r="N422" s="16" t="inlineStr">
        <is>
          <t>CUI</t>
        </is>
      </c>
      <c r="O422" s="16" t="inlineStr"/>
      <c r="P422" s="16" t="inlineStr"/>
    </row>
    <row r="423">
      <c r="A423" s="16" t="inlineStr"/>
      <c r="B423" s="16" t="inlineStr"/>
      <c r="C423" s="16" t="inlineStr">
        <is>
          <t>Document</t>
        </is>
      </c>
      <c r="D423" s="16" t="inlineStr"/>
      <c r="E423" s="16" t="inlineStr"/>
      <c r="F423" s="16" t="inlineStr"/>
      <c r="G423" s="16" t="inlineStr">
        <is>
          <t>Not Started</t>
        </is>
      </c>
      <c r="H423" s="16" t="inlineStr">
        <is>
          <t>Not Reviewed</t>
        </is>
      </c>
      <c r="I423" s="16" t="inlineStr"/>
      <c r="J423" s="20" t="inlineStr"/>
      <c r="K423" s="20" t="inlineStr"/>
      <c r="L423" s="16" t="inlineStr"/>
      <c r="M423" s="16" t="inlineStr"/>
      <c r="N423" s="16" t="inlineStr">
        <is>
          <t>CUI</t>
        </is>
      </c>
      <c r="O423" s="16" t="inlineStr"/>
      <c r="P423" s="16" t="inlineStr"/>
    </row>
    <row r="424">
      <c r="A424" s="16" t="inlineStr"/>
      <c r="B424" s="16" t="inlineStr"/>
      <c r="C424" s="16" t="inlineStr">
        <is>
          <t>Document</t>
        </is>
      </c>
      <c r="D424" s="16" t="inlineStr"/>
      <c r="E424" s="16" t="inlineStr"/>
      <c r="F424" s="16" t="inlineStr"/>
      <c r="G424" s="16" t="inlineStr">
        <is>
          <t>Not Started</t>
        </is>
      </c>
      <c r="H424" s="16" t="inlineStr">
        <is>
          <t>Not Reviewed</t>
        </is>
      </c>
      <c r="I424" s="16" t="inlineStr"/>
      <c r="J424" s="20" t="inlineStr"/>
      <c r="K424" s="20" t="inlineStr"/>
      <c r="L424" s="16" t="inlineStr"/>
      <c r="M424" s="16" t="inlineStr"/>
      <c r="N424" s="16" t="inlineStr">
        <is>
          <t>CUI</t>
        </is>
      </c>
      <c r="O424" s="16" t="inlineStr"/>
      <c r="P424" s="16" t="inlineStr"/>
    </row>
    <row r="425">
      <c r="A425" s="16" t="inlineStr"/>
      <c r="B425" s="16" t="inlineStr"/>
      <c r="C425" s="16" t="inlineStr">
        <is>
          <t>Document</t>
        </is>
      </c>
      <c r="D425" s="16" t="inlineStr"/>
      <c r="E425" s="16" t="inlineStr"/>
      <c r="F425" s="16" t="inlineStr"/>
      <c r="G425" s="16" t="inlineStr">
        <is>
          <t>Not Started</t>
        </is>
      </c>
      <c r="H425" s="16" t="inlineStr">
        <is>
          <t>Not Reviewed</t>
        </is>
      </c>
      <c r="I425" s="16" t="inlineStr"/>
      <c r="J425" s="20" t="inlineStr"/>
      <c r="K425" s="20" t="inlineStr"/>
      <c r="L425" s="16" t="inlineStr"/>
      <c r="M425" s="16" t="inlineStr"/>
      <c r="N425" s="16" t="inlineStr">
        <is>
          <t>CUI</t>
        </is>
      </c>
      <c r="O425" s="16" t="inlineStr"/>
      <c r="P425" s="16" t="inlineStr"/>
    </row>
    <row r="426">
      <c r="A426" s="16" t="inlineStr"/>
      <c r="B426" s="16" t="inlineStr"/>
      <c r="C426" s="16" t="inlineStr">
        <is>
          <t>Document</t>
        </is>
      </c>
      <c r="D426" s="16" t="inlineStr"/>
      <c r="E426" s="16" t="inlineStr"/>
      <c r="F426" s="16" t="inlineStr"/>
      <c r="G426" s="16" t="inlineStr">
        <is>
          <t>Not Started</t>
        </is>
      </c>
      <c r="H426" s="16" t="inlineStr">
        <is>
          <t>Not Reviewed</t>
        </is>
      </c>
      <c r="I426" s="16" t="inlineStr"/>
      <c r="J426" s="20" t="inlineStr"/>
      <c r="K426" s="20" t="inlineStr"/>
      <c r="L426" s="16" t="inlineStr"/>
      <c r="M426" s="16" t="inlineStr"/>
      <c r="N426" s="16" t="inlineStr">
        <is>
          <t>CUI</t>
        </is>
      </c>
      <c r="O426" s="16" t="inlineStr"/>
      <c r="P426" s="16" t="inlineStr"/>
    </row>
    <row r="427">
      <c r="A427" s="16" t="inlineStr"/>
      <c r="B427" s="16" t="inlineStr"/>
      <c r="C427" s="16" t="inlineStr">
        <is>
          <t>Document</t>
        </is>
      </c>
      <c r="D427" s="16" t="inlineStr"/>
      <c r="E427" s="16" t="inlineStr"/>
      <c r="F427" s="16" t="inlineStr"/>
      <c r="G427" s="16" t="inlineStr">
        <is>
          <t>Not Started</t>
        </is>
      </c>
      <c r="H427" s="16" t="inlineStr">
        <is>
          <t>Not Reviewed</t>
        </is>
      </c>
      <c r="I427" s="16" t="inlineStr"/>
      <c r="J427" s="20" t="inlineStr"/>
      <c r="K427" s="20" t="inlineStr"/>
      <c r="L427" s="16" t="inlineStr"/>
      <c r="M427" s="16" t="inlineStr"/>
      <c r="N427" s="16" t="inlineStr">
        <is>
          <t>CUI</t>
        </is>
      </c>
      <c r="O427" s="16" t="inlineStr"/>
      <c r="P427" s="16" t="inlineStr"/>
    </row>
    <row r="428">
      <c r="A428" s="16" t="inlineStr"/>
      <c r="B428" s="16" t="inlineStr"/>
      <c r="C428" s="16" t="inlineStr">
        <is>
          <t>Document</t>
        </is>
      </c>
      <c r="D428" s="16" t="inlineStr"/>
      <c r="E428" s="16" t="inlineStr"/>
      <c r="F428" s="16" t="inlineStr"/>
      <c r="G428" s="16" t="inlineStr">
        <is>
          <t>Not Started</t>
        </is>
      </c>
      <c r="H428" s="16" t="inlineStr">
        <is>
          <t>Not Reviewed</t>
        </is>
      </c>
      <c r="I428" s="16" t="inlineStr"/>
      <c r="J428" s="20" t="inlineStr"/>
      <c r="K428" s="20" t="inlineStr"/>
      <c r="L428" s="16" t="inlineStr"/>
      <c r="M428" s="16" t="inlineStr"/>
      <c r="N428" s="16" t="inlineStr">
        <is>
          <t>CUI</t>
        </is>
      </c>
      <c r="O428" s="16" t="inlineStr"/>
      <c r="P428" s="16" t="inlineStr"/>
    </row>
    <row r="429">
      <c r="A429" s="16" t="inlineStr"/>
      <c r="B429" s="16" t="inlineStr"/>
      <c r="C429" s="16" t="inlineStr">
        <is>
          <t>Document</t>
        </is>
      </c>
      <c r="D429" s="16" t="inlineStr"/>
      <c r="E429" s="16" t="inlineStr"/>
      <c r="F429" s="16" t="inlineStr"/>
      <c r="G429" s="16" t="inlineStr">
        <is>
          <t>Not Started</t>
        </is>
      </c>
      <c r="H429" s="16" t="inlineStr">
        <is>
          <t>Not Reviewed</t>
        </is>
      </c>
      <c r="I429" s="16" t="inlineStr"/>
      <c r="J429" s="20" t="inlineStr"/>
      <c r="K429" s="20" t="inlineStr"/>
      <c r="L429" s="16" t="inlineStr"/>
      <c r="M429" s="16" t="inlineStr"/>
      <c r="N429" s="16" t="inlineStr">
        <is>
          <t>CUI</t>
        </is>
      </c>
      <c r="O429" s="16" t="inlineStr"/>
      <c r="P429" s="16" t="inlineStr"/>
    </row>
    <row r="430">
      <c r="A430" s="16" t="inlineStr"/>
      <c r="B430" s="16" t="inlineStr"/>
      <c r="C430" s="16" t="inlineStr">
        <is>
          <t>Document</t>
        </is>
      </c>
      <c r="D430" s="16" t="inlineStr"/>
      <c r="E430" s="16" t="inlineStr"/>
      <c r="F430" s="16" t="inlineStr"/>
      <c r="G430" s="16" t="inlineStr">
        <is>
          <t>Not Started</t>
        </is>
      </c>
      <c r="H430" s="16" t="inlineStr">
        <is>
          <t>Not Reviewed</t>
        </is>
      </c>
      <c r="I430" s="16" t="inlineStr"/>
      <c r="J430" s="20" t="inlineStr"/>
      <c r="K430" s="20" t="inlineStr"/>
      <c r="L430" s="16" t="inlineStr"/>
      <c r="M430" s="16" t="inlineStr"/>
      <c r="N430" s="16" t="inlineStr">
        <is>
          <t>CUI</t>
        </is>
      </c>
      <c r="O430" s="16" t="inlineStr"/>
      <c r="P430" s="16" t="inlineStr"/>
    </row>
    <row r="431">
      <c r="A431" s="16" t="inlineStr"/>
      <c r="B431" s="16" t="inlineStr"/>
      <c r="C431" s="16" t="inlineStr">
        <is>
          <t>Document</t>
        </is>
      </c>
      <c r="D431" s="16" t="inlineStr"/>
      <c r="E431" s="16" t="inlineStr"/>
      <c r="F431" s="16" t="inlineStr"/>
      <c r="G431" s="16" t="inlineStr">
        <is>
          <t>Not Started</t>
        </is>
      </c>
      <c r="H431" s="16" t="inlineStr">
        <is>
          <t>Not Reviewed</t>
        </is>
      </c>
      <c r="I431" s="16" t="inlineStr"/>
      <c r="J431" s="20" t="inlineStr"/>
      <c r="K431" s="20" t="inlineStr"/>
      <c r="L431" s="16" t="inlineStr"/>
      <c r="M431" s="16" t="inlineStr"/>
      <c r="N431" s="16" t="inlineStr">
        <is>
          <t>CUI</t>
        </is>
      </c>
      <c r="O431" s="16" t="inlineStr"/>
      <c r="P431" s="16" t="inlineStr"/>
    </row>
    <row r="432">
      <c r="A432" s="16" t="inlineStr"/>
      <c r="B432" s="16" t="inlineStr"/>
      <c r="C432" s="16" t="inlineStr">
        <is>
          <t>Document</t>
        </is>
      </c>
      <c r="D432" s="16" t="inlineStr"/>
      <c r="E432" s="16" t="inlineStr"/>
      <c r="F432" s="16" t="inlineStr"/>
      <c r="G432" s="16" t="inlineStr">
        <is>
          <t>Not Started</t>
        </is>
      </c>
      <c r="H432" s="16" t="inlineStr">
        <is>
          <t>Not Reviewed</t>
        </is>
      </c>
      <c r="I432" s="16" t="inlineStr"/>
      <c r="J432" s="20" t="inlineStr"/>
      <c r="K432" s="20" t="inlineStr"/>
      <c r="L432" s="16" t="inlineStr"/>
      <c r="M432" s="16" t="inlineStr"/>
      <c r="N432" s="16" t="inlineStr">
        <is>
          <t>CUI</t>
        </is>
      </c>
      <c r="O432" s="16" t="inlineStr"/>
      <c r="P432" s="16" t="inlineStr"/>
    </row>
    <row r="433">
      <c r="A433" s="16" t="inlineStr"/>
      <c r="B433" s="16" t="inlineStr"/>
      <c r="C433" s="16" t="inlineStr">
        <is>
          <t>Document</t>
        </is>
      </c>
      <c r="D433" s="16" t="inlineStr"/>
      <c r="E433" s="16" t="inlineStr"/>
      <c r="F433" s="16" t="inlineStr"/>
      <c r="G433" s="16" t="inlineStr">
        <is>
          <t>Not Started</t>
        </is>
      </c>
      <c r="H433" s="16" t="inlineStr">
        <is>
          <t>Not Reviewed</t>
        </is>
      </c>
      <c r="I433" s="16" t="inlineStr"/>
      <c r="J433" s="20" t="inlineStr"/>
      <c r="K433" s="20" t="inlineStr"/>
      <c r="L433" s="16" t="inlineStr"/>
      <c r="M433" s="16" t="inlineStr"/>
      <c r="N433" s="16" t="inlineStr">
        <is>
          <t>CUI</t>
        </is>
      </c>
      <c r="O433" s="16" t="inlineStr"/>
      <c r="P433" s="16" t="inlineStr"/>
    </row>
    <row r="434">
      <c r="A434" s="16" t="inlineStr"/>
      <c r="B434" s="16" t="inlineStr"/>
      <c r="C434" s="16" t="inlineStr">
        <is>
          <t>Document</t>
        </is>
      </c>
      <c r="D434" s="16" t="inlineStr"/>
      <c r="E434" s="16" t="inlineStr"/>
      <c r="F434" s="16" t="inlineStr"/>
      <c r="G434" s="16" t="inlineStr">
        <is>
          <t>Not Started</t>
        </is>
      </c>
      <c r="H434" s="16" t="inlineStr">
        <is>
          <t>Not Reviewed</t>
        </is>
      </c>
      <c r="I434" s="16" t="inlineStr"/>
      <c r="J434" s="20" t="inlineStr"/>
      <c r="K434" s="20" t="inlineStr"/>
      <c r="L434" s="16" t="inlineStr"/>
      <c r="M434" s="16" t="inlineStr"/>
      <c r="N434" s="16" t="inlineStr">
        <is>
          <t>CUI</t>
        </is>
      </c>
      <c r="O434" s="16" t="inlineStr"/>
      <c r="P434" s="16" t="inlineStr"/>
    </row>
    <row r="435">
      <c r="A435" s="16" t="inlineStr"/>
      <c r="B435" s="16" t="inlineStr"/>
      <c r="C435" s="16" t="inlineStr">
        <is>
          <t>Document</t>
        </is>
      </c>
      <c r="D435" s="16" t="inlineStr"/>
      <c r="E435" s="16" t="inlineStr"/>
      <c r="F435" s="16" t="inlineStr"/>
      <c r="G435" s="16" t="inlineStr">
        <is>
          <t>Not Started</t>
        </is>
      </c>
      <c r="H435" s="16" t="inlineStr">
        <is>
          <t>Not Reviewed</t>
        </is>
      </c>
      <c r="I435" s="16" t="inlineStr"/>
      <c r="J435" s="20" t="inlineStr"/>
      <c r="K435" s="20" t="inlineStr"/>
      <c r="L435" s="16" t="inlineStr"/>
      <c r="M435" s="16" t="inlineStr"/>
      <c r="N435" s="16" t="inlineStr">
        <is>
          <t>CUI</t>
        </is>
      </c>
      <c r="O435" s="16" t="inlineStr"/>
      <c r="P435" s="16" t="inlineStr"/>
    </row>
    <row r="436">
      <c r="A436" s="16" t="inlineStr"/>
      <c r="B436" s="16" t="inlineStr"/>
      <c r="C436" s="16" t="inlineStr">
        <is>
          <t>Document</t>
        </is>
      </c>
      <c r="D436" s="16" t="inlineStr"/>
      <c r="E436" s="16" t="inlineStr"/>
      <c r="F436" s="16" t="inlineStr"/>
      <c r="G436" s="16" t="inlineStr">
        <is>
          <t>Not Started</t>
        </is>
      </c>
      <c r="H436" s="16" t="inlineStr">
        <is>
          <t>Not Reviewed</t>
        </is>
      </c>
      <c r="I436" s="16" t="inlineStr"/>
      <c r="J436" s="20" t="inlineStr"/>
      <c r="K436" s="20" t="inlineStr"/>
      <c r="L436" s="16" t="inlineStr"/>
      <c r="M436" s="16" t="inlineStr"/>
      <c r="N436" s="16" t="inlineStr">
        <is>
          <t>CUI</t>
        </is>
      </c>
      <c r="O436" s="16" t="inlineStr"/>
      <c r="P436" s="16" t="inlineStr"/>
    </row>
    <row r="437">
      <c r="A437" s="16" t="inlineStr"/>
      <c r="B437" s="16" t="inlineStr"/>
      <c r="C437" s="16" t="inlineStr">
        <is>
          <t>Document</t>
        </is>
      </c>
      <c r="D437" s="16" t="inlineStr"/>
      <c r="E437" s="16" t="inlineStr"/>
      <c r="F437" s="16" t="inlineStr"/>
      <c r="G437" s="16" t="inlineStr">
        <is>
          <t>Not Started</t>
        </is>
      </c>
      <c r="H437" s="16" t="inlineStr">
        <is>
          <t>Not Reviewed</t>
        </is>
      </c>
      <c r="I437" s="16" t="inlineStr"/>
      <c r="J437" s="20" t="inlineStr"/>
      <c r="K437" s="20" t="inlineStr"/>
      <c r="L437" s="16" t="inlineStr"/>
      <c r="M437" s="16" t="inlineStr"/>
      <c r="N437" s="16" t="inlineStr">
        <is>
          <t>CUI</t>
        </is>
      </c>
      <c r="O437" s="16" t="inlineStr"/>
      <c r="P437" s="16" t="inlineStr"/>
    </row>
    <row r="438">
      <c r="A438" s="16" t="inlineStr"/>
      <c r="B438" s="16" t="inlineStr"/>
      <c r="C438" s="16" t="inlineStr">
        <is>
          <t>Document</t>
        </is>
      </c>
      <c r="D438" s="16" t="inlineStr"/>
      <c r="E438" s="16" t="inlineStr"/>
      <c r="F438" s="16" t="inlineStr"/>
      <c r="G438" s="16" t="inlineStr">
        <is>
          <t>Not Started</t>
        </is>
      </c>
      <c r="H438" s="16" t="inlineStr">
        <is>
          <t>Not Reviewed</t>
        </is>
      </c>
      <c r="I438" s="16" t="inlineStr"/>
      <c r="J438" s="20" t="inlineStr"/>
      <c r="K438" s="20" t="inlineStr"/>
      <c r="L438" s="16" t="inlineStr"/>
      <c r="M438" s="16" t="inlineStr"/>
      <c r="N438" s="16" t="inlineStr">
        <is>
          <t>CUI</t>
        </is>
      </c>
      <c r="O438" s="16" t="inlineStr"/>
      <c r="P438" s="16" t="inlineStr"/>
    </row>
    <row r="439">
      <c r="A439" s="16" t="inlineStr"/>
      <c r="B439" s="16" t="inlineStr"/>
      <c r="C439" s="16" t="inlineStr">
        <is>
          <t>Document</t>
        </is>
      </c>
      <c r="D439" s="16" t="inlineStr"/>
      <c r="E439" s="16" t="inlineStr"/>
      <c r="F439" s="16" t="inlineStr"/>
      <c r="G439" s="16" t="inlineStr">
        <is>
          <t>Not Started</t>
        </is>
      </c>
      <c r="H439" s="16" t="inlineStr">
        <is>
          <t>Not Reviewed</t>
        </is>
      </c>
      <c r="I439" s="16" t="inlineStr"/>
      <c r="J439" s="20" t="inlineStr"/>
      <c r="K439" s="20" t="inlineStr"/>
      <c r="L439" s="16" t="inlineStr"/>
      <c r="M439" s="16" t="inlineStr"/>
      <c r="N439" s="16" t="inlineStr">
        <is>
          <t>CUI</t>
        </is>
      </c>
      <c r="O439" s="16" t="inlineStr"/>
      <c r="P439" s="16" t="inlineStr"/>
    </row>
    <row r="440">
      <c r="A440" s="16" t="inlineStr"/>
      <c r="B440" s="16" t="inlineStr"/>
      <c r="C440" s="16" t="inlineStr">
        <is>
          <t>Document</t>
        </is>
      </c>
      <c r="D440" s="16" t="inlineStr"/>
      <c r="E440" s="16" t="inlineStr"/>
      <c r="F440" s="16" t="inlineStr"/>
      <c r="G440" s="16" t="inlineStr">
        <is>
          <t>Not Started</t>
        </is>
      </c>
      <c r="H440" s="16" t="inlineStr">
        <is>
          <t>Not Reviewed</t>
        </is>
      </c>
      <c r="I440" s="16" t="inlineStr"/>
      <c r="J440" s="20" t="inlineStr"/>
      <c r="K440" s="20" t="inlineStr"/>
      <c r="L440" s="16" t="inlineStr"/>
      <c r="M440" s="16" t="inlineStr"/>
      <c r="N440" s="16" t="inlineStr">
        <is>
          <t>CUI</t>
        </is>
      </c>
      <c r="O440" s="16" t="inlineStr"/>
      <c r="P440" s="16" t="inlineStr"/>
    </row>
    <row r="441">
      <c r="A441" s="16" t="inlineStr"/>
      <c r="B441" s="16" t="inlineStr"/>
      <c r="C441" s="16" t="inlineStr">
        <is>
          <t>Document</t>
        </is>
      </c>
      <c r="D441" s="16" t="inlineStr"/>
      <c r="E441" s="16" t="inlineStr"/>
      <c r="F441" s="16" t="inlineStr"/>
      <c r="G441" s="16" t="inlineStr">
        <is>
          <t>Not Started</t>
        </is>
      </c>
      <c r="H441" s="16" t="inlineStr">
        <is>
          <t>Not Reviewed</t>
        </is>
      </c>
      <c r="I441" s="16" t="inlineStr"/>
      <c r="J441" s="20" t="inlineStr"/>
      <c r="K441" s="20" t="inlineStr"/>
      <c r="L441" s="16" t="inlineStr"/>
      <c r="M441" s="16" t="inlineStr"/>
      <c r="N441" s="16" t="inlineStr">
        <is>
          <t>CUI</t>
        </is>
      </c>
      <c r="O441" s="16" t="inlineStr"/>
      <c r="P441" s="16" t="inlineStr"/>
    </row>
    <row r="442">
      <c r="A442" s="16" t="inlineStr"/>
      <c r="B442" s="16" t="inlineStr"/>
      <c r="C442" s="16" t="inlineStr">
        <is>
          <t>Document</t>
        </is>
      </c>
      <c r="D442" s="16" t="inlineStr"/>
      <c r="E442" s="16" t="inlineStr"/>
      <c r="F442" s="16" t="inlineStr"/>
      <c r="G442" s="16" t="inlineStr">
        <is>
          <t>Not Started</t>
        </is>
      </c>
      <c r="H442" s="16" t="inlineStr">
        <is>
          <t>Not Reviewed</t>
        </is>
      </c>
      <c r="I442" s="16" t="inlineStr"/>
      <c r="J442" s="20" t="inlineStr"/>
      <c r="K442" s="20" t="inlineStr"/>
      <c r="L442" s="16" t="inlineStr"/>
      <c r="M442" s="16" t="inlineStr"/>
      <c r="N442" s="16" t="inlineStr">
        <is>
          <t>CUI</t>
        </is>
      </c>
      <c r="O442" s="16" t="inlineStr"/>
      <c r="P442" s="16" t="inlineStr"/>
    </row>
    <row r="443">
      <c r="A443" s="16" t="inlineStr"/>
      <c r="B443" s="16" t="inlineStr"/>
      <c r="C443" s="16" t="inlineStr">
        <is>
          <t>Document</t>
        </is>
      </c>
      <c r="D443" s="16" t="inlineStr"/>
      <c r="E443" s="16" t="inlineStr"/>
      <c r="F443" s="16" t="inlineStr"/>
      <c r="G443" s="16" t="inlineStr">
        <is>
          <t>Not Started</t>
        </is>
      </c>
      <c r="H443" s="16" t="inlineStr">
        <is>
          <t>Not Reviewed</t>
        </is>
      </c>
      <c r="I443" s="16" t="inlineStr"/>
      <c r="J443" s="20" t="inlineStr"/>
      <c r="K443" s="20" t="inlineStr"/>
      <c r="L443" s="16" t="inlineStr"/>
      <c r="M443" s="16" t="inlineStr"/>
      <c r="N443" s="16" t="inlineStr">
        <is>
          <t>CUI</t>
        </is>
      </c>
      <c r="O443" s="16" t="inlineStr"/>
      <c r="P443" s="16" t="inlineStr"/>
    </row>
    <row r="444">
      <c r="A444" s="16" t="inlineStr"/>
      <c r="B444" s="16" t="inlineStr"/>
      <c r="C444" s="16" t="inlineStr">
        <is>
          <t>Document</t>
        </is>
      </c>
      <c r="D444" s="16" t="inlineStr"/>
      <c r="E444" s="16" t="inlineStr"/>
      <c r="F444" s="16" t="inlineStr"/>
      <c r="G444" s="16" t="inlineStr">
        <is>
          <t>Not Started</t>
        </is>
      </c>
      <c r="H444" s="16" t="inlineStr">
        <is>
          <t>Not Reviewed</t>
        </is>
      </c>
      <c r="I444" s="16" t="inlineStr"/>
      <c r="J444" s="20" t="inlineStr"/>
      <c r="K444" s="20" t="inlineStr"/>
      <c r="L444" s="16" t="inlineStr"/>
      <c r="M444" s="16" t="inlineStr"/>
      <c r="N444" s="16" t="inlineStr">
        <is>
          <t>CUI</t>
        </is>
      </c>
      <c r="O444" s="16" t="inlineStr"/>
      <c r="P444" s="16" t="inlineStr"/>
    </row>
    <row r="445">
      <c r="A445" s="16" t="inlineStr"/>
      <c r="B445" s="16" t="inlineStr"/>
      <c r="C445" s="16" t="inlineStr">
        <is>
          <t>Document</t>
        </is>
      </c>
      <c r="D445" s="16" t="inlineStr"/>
      <c r="E445" s="16" t="inlineStr"/>
      <c r="F445" s="16" t="inlineStr"/>
      <c r="G445" s="16" t="inlineStr">
        <is>
          <t>Not Started</t>
        </is>
      </c>
      <c r="H445" s="16" t="inlineStr">
        <is>
          <t>Not Reviewed</t>
        </is>
      </c>
      <c r="I445" s="16" t="inlineStr"/>
      <c r="J445" s="20" t="inlineStr"/>
      <c r="K445" s="20" t="inlineStr"/>
      <c r="L445" s="16" t="inlineStr"/>
      <c r="M445" s="16" t="inlineStr"/>
      <c r="N445" s="16" t="inlineStr">
        <is>
          <t>CUI</t>
        </is>
      </c>
      <c r="O445" s="16" t="inlineStr"/>
      <c r="P445" s="16" t="inlineStr"/>
    </row>
    <row r="446">
      <c r="A446" s="16" t="inlineStr"/>
      <c r="B446" s="16" t="inlineStr"/>
      <c r="C446" s="16" t="inlineStr">
        <is>
          <t>Document</t>
        </is>
      </c>
      <c r="D446" s="16" t="inlineStr"/>
      <c r="E446" s="16" t="inlineStr"/>
      <c r="F446" s="16" t="inlineStr"/>
      <c r="G446" s="16" t="inlineStr">
        <is>
          <t>Not Started</t>
        </is>
      </c>
      <c r="H446" s="16" t="inlineStr">
        <is>
          <t>Not Reviewed</t>
        </is>
      </c>
      <c r="I446" s="16" t="inlineStr"/>
      <c r="J446" s="20" t="inlineStr"/>
      <c r="K446" s="20" t="inlineStr"/>
      <c r="L446" s="16" t="inlineStr"/>
      <c r="M446" s="16" t="inlineStr"/>
      <c r="N446" s="16" t="inlineStr">
        <is>
          <t>CUI</t>
        </is>
      </c>
      <c r="O446" s="16" t="inlineStr"/>
      <c r="P446" s="16" t="inlineStr"/>
    </row>
    <row r="447">
      <c r="A447" s="16" t="inlineStr"/>
      <c r="B447" s="16" t="inlineStr"/>
      <c r="C447" s="16" t="inlineStr">
        <is>
          <t>Document</t>
        </is>
      </c>
      <c r="D447" s="16" t="inlineStr"/>
      <c r="E447" s="16" t="inlineStr"/>
      <c r="F447" s="16" t="inlineStr"/>
      <c r="G447" s="16" t="inlineStr">
        <is>
          <t>Not Started</t>
        </is>
      </c>
      <c r="H447" s="16" t="inlineStr">
        <is>
          <t>Not Reviewed</t>
        </is>
      </c>
      <c r="I447" s="16" t="inlineStr"/>
      <c r="J447" s="20" t="inlineStr"/>
      <c r="K447" s="20" t="inlineStr"/>
      <c r="L447" s="16" t="inlineStr"/>
      <c r="M447" s="16" t="inlineStr"/>
      <c r="N447" s="16" t="inlineStr">
        <is>
          <t>CUI</t>
        </is>
      </c>
      <c r="O447" s="16" t="inlineStr"/>
      <c r="P447" s="16" t="inlineStr"/>
    </row>
    <row r="448">
      <c r="A448" s="16" t="inlineStr"/>
      <c r="B448" s="16" t="inlineStr"/>
      <c r="C448" s="16" t="inlineStr">
        <is>
          <t>Document</t>
        </is>
      </c>
      <c r="D448" s="16" t="inlineStr"/>
      <c r="E448" s="16" t="inlineStr"/>
      <c r="F448" s="16" t="inlineStr"/>
      <c r="G448" s="16" t="inlineStr">
        <is>
          <t>Not Started</t>
        </is>
      </c>
      <c r="H448" s="16" t="inlineStr">
        <is>
          <t>Not Reviewed</t>
        </is>
      </c>
      <c r="I448" s="16" t="inlineStr"/>
      <c r="J448" s="20" t="inlineStr"/>
      <c r="K448" s="20" t="inlineStr"/>
      <c r="L448" s="16" t="inlineStr"/>
      <c r="M448" s="16" t="inlineStr"/>
      <c r="N448" s="16" t="inlineStr">
        <is>
          <t>CUI</t>
        </is>
      </c>
      <c r="O448" s="16" t="inlineStr"/>
      <c r="P448" s="16" t="inlineStr"/>
    </row>
    <row r="449">
      <c r="A449" s="16" t="inlineStr"/>
      <c r="B449" s="16" t="inlineStr"/>
      <c r="C449" s="16" t="inlineStr">
        <is>
          <t>Document</t>
        </is>
      </c>
      <c r="D449" s="16" t="inlineStr"/>
      <c r="E449" s="16" t="inlineStr"/>
      <c r="F449" s="16" t="inlineStr"/>
      <c r="G449" s="16" t="inlineStr">
        <is>
          <t>Not Started</t>
        </is>
      </c>
      <c r="H449" s="16" t="inlineStr">
        <is>
          <t>Not Reviewed</t>
        </is>
      </c>
      <c r="I449" s="16" t="inlineStr"/>
      <c r="J449" s="20" t="inlineStr"/>
      <c r="K449" s="20" t="inlineStr"/>
      <c r="L449" s="16" t="inlineStr"/>
      <c r="M449" s="16" t="inlineStr"/>
      <c r="N449" s="16" t="inlineStr">
        <is>
          <t>CUI</t>
        </is>
      </c>
      <c r="O449" s="16" t="inlineStr"/>
      <c r="P449" s="16" t="inlineStr"/>
    </row>
    <row r="450">
      <c r="A450" s="16" t="inlineStr"/>
      <c r="B450" s="16" t="inlineStr"/>
      <c r="C450" s="16" t="inlineStr">
        <is>
          <t>Document</t>
        </is>
      </c>
      <c r="D450" s="16" t="inlineStr"/>
      <c r="E450" s="16" t="inlineStr"/>
      <c r="F450" s="16" t="inlineStr"/>
      <c r="G450" s="16" t="inlineStr">
        <is>
          <t>Not Started</t>
        </is>
      </c>
      <c r="H450" s="16" t="inlineStr">
        <is>
          <t>Not Reviewed</t>
        </is>
      </c>
      <c r="I450" s="16" t="inlineStr"/>
      <c r="J450" s="20" t="inlineStr"/>
      <c r="K450" s="20" t="inlineStr"/>
      <c r="L450" s="16" t="inlineStr"/>
      <c r="M450" s="16" t="inlineStr"/>
      <c r="N450" s="16" t="inlineStr">
        <is>
          <t>CUI</t>
        </is>
      </c>
      <c r="O450" s="16" t="inlineStr"/>
      <c r="P450" s="16" t="inlineStr"/>
    </row>
    <row r="451">
      <c r="A451" s="16" t="inlineStr"/>
      <c r="B451" s="16" t="inlineStr"/>
      <c r="C451" s="16" t="inlineStr">
        <is>
          <t>Document</t>
        </is>
      </c>
      <c r="D451" s="16" t="inlineStr"/>
      <c r="E451" s="16" t="inlineStr"/>
      <c r="F451" s="16" t="inlineStr"/>
      <c r="G451" s="16" t="inlineStr">
        <is>
          <t>Not Started</t>
        </is>
      </c>
      <c r="H451" s="16" t="inlineStr">
        <is>
          <t>Not Reviewed</t>
        </is>
      </c>
      <c r="I451" s="16" t="inlineStr"/>
      <c r="J451" s="20" t="inlineStr"/>
      <c r="K451" s="20" t="inlineStr"/>
      <c r="L451" s="16" t="inlineStr"/>
      <c r="M451" s="16" t="inlineStr"/>
      <c r="N451" s="16" t="inlineStr">
        <is>
          <t>CUI</t>
        </is>
      </c>
      <c r="O451" s="16" t="inlineStr"/>
      <c r="P451" s="16" t="inlineStr"/>
    </row>
    <row r="452">
      <c r="A452" s="16" t="inlineStr"/>
      <c r="B452" s="16" t="inlineStr"/>
      <c r="C452" s="16" t="inlineStr">
        <is>
          <t>Document</t>
        </is>
      </c>
      <c r="D452" s="16" t="inlineStr"/>
      <c r="E452" s="16" t="inlineStr"/>
      <c r="F452" s="16" t="inlineStr"/>
      <c r="G452" s="16" t="inlineStr">
        <is>
          <t>Not Started</t>
        </is>
      </c>
      <c r="H452" s="16" t="inlineStr">
        <is>
          <t>Not Reviewed</t>
        </is>
      </c>
      <c r="I452" s="16" t="inlineStr"/>
      <c r="J452" s="20" t="inlineStr"/>
      <c r="K452" s="20" t="inlineStr"/>
      <c r="L452" s="16" t="inlineStr"/>
      <c r="M452" s="16" t="inlineStr"/>
      <c r="N452" s="16" t="inlineStr">
        <is>
          <t>CUI</t>
        </is>
      </c>
      <c r="O452" s="16" t="inlineStr"/>
      <c r="P452" s="16" t="inlineStr"/>
    </row>
    <row r="453">
      <c r="A453" s="16" t="inlineStr"/>
      <c r="B453" s="16" t="inlineStr"/>
      <c r="C453" s="16" t="inlineStr">
        <is>
          <t>Document</t>
        </is>
      </c>
      <c r="D453" s="16" t="inlineStr"/>
      <c r="E453" s="16" t="inlineStr"/>
      <c r="F453" s="16" t="inlineStr"/>
      <c r="G453" s="16" t="inlineStr">
        <is>
          <t>Not Started</t>
        </is>
      </c>
      <c r="H453" s="16" t="inlineStr">
        <is>
          <t>Not Reviewed</t>
        </is>
      </c>
      <c r="I453" s="16" t="inlineStr"/>
      <c r="J453" s="20" t="inlineStr"/>
      <c r="K453" s="20" t="inlineStr"/>
      <c r="L453" s="16" t="inlineStr"/>
      <c r="M453" s="16" t="inlineStr"/>
      <c r="N453" s="16" t="inlineStr">
        <is>
          <t>CUI</t>
        </is>
      </c>
      <c r="O453" s="16" t="inlineStr"/>
      <c r="P453" s="16" t="inlineStr"/>
    </row>
    <row r="454">
      <c r="A454" s="16" t="inlineStr"/>
      <c r="B454" s="16" t="inlineStr"/>
      <c r="C454" s="16" t="inlineStr">
        <is>
          <t>Document</t>
        </is>
      </c>
      <c r="D454" s="16" t="inlineStr"/>
      <c r="E454" s="16" t="inlineStr"/>
      <c r="F454" s="16" t="inlineStr"/>
      <c r="G454" s="16" t="inlineStr">
        <is>
          <t>Not Started</t>
        </is>
      </c>
      <c r="H454" s="16" t="inlineStr">
        <is>
          <t>Not Reviewed</t>
        </is>
      </c>
      <c r="I454" s="16" t="inlineStr"/>
      <c r="J454" s="20" t="inlineStr"/>
      <c r="K454" s="20" t="inlineStr"/>
      <c r="L454" s="16" t="inlineStr"/>
      <c r="M454" s="16" t="inlineStr"/>
      <c r="N454" s="16" t="inlineStr">
        <is>
          <t>CUI</t>
        </is>
      </c>
      <c r="O454" s="16" t="inlineStr"/>
      <c r="P454" s="16" t="inlineStr"/>
    </row>
    <row r="455">
      <c r="A455" s="16" t="inlineStr"/>
      <c r="B455" s="16" t="inlineStr"/>
      <c r="C455" s="16" t="inlineStr">
        <is>
          <t>Document</t>
        </is>
      </c>
      <c r="D455" s="16" t="inlineStr"/>
      <c r="E455" s="16" t="inlineStr"/>
      <c r="F455" s="16" t="inlineStr"/>
      <c r="G455" s="16" t="inlineStr">
        <is>
          <t>Not Started</t>
        </is>
      </c>
      <c r="H455" s="16" t="inlineStr">
        <is>
          <t>Not Reviewed</t>
        </is>
      </c>
      <c r="I455" s="16" t="inlineStr"/>
      <c r="J455" s="20" t="inlineStr"/>
      <c r="K455" s="20" t="inlineStr"/>
      <c r="L455" s="16" t="inlineStr"/>
      <c r="M455" s="16" t="inlineStr"/>
      <c r="N455" s="16" t="inlineStr">
        <is>
          <t>CUI</t>
        </is>
      </c>
      <c r="O455" s="16" t="inlineStr"/>
      <c r="P455" s="16" t="inlineStr"/>
    </row>
    <row r="456">
      <c r="A456" s="16" t="inlineStr"/>
      <c r="B456" s="16" t="inlineStr"/>
      <c r="C456" s="16" t="inlineStr">
        <is>
          <t>Document</t>
        </is>
      </c>
      <c r="D456" s="16" t="inlineStr"/>
      <c r="E456" s="16" t="inlineStr"/>
      <c r="F456" s="16" t="inlineStr"/>
      <c r="G456" s="16" t="inlineStr">
        <is>
          <t>Not Started</t>
        </is>
      </c>
      <c r="H456" s="16" t="inlineStr">
        <is>
          <t>Not Reviewed</t>
        </is>
      </c>
      <c r="I456" s="16" t="inlineStr"/>
      <c r="J456" s="20" t="inlineStr"/>
      <c r="K456" s="20" t="inlineStr"/>
      <c r="L456" s="16" t="inlineStr"/>
      <c r="M456" s="16" t="inlineStr"/>
      <c r="N456" s="16" t="inlineStr">
        <is>
          <t>CUI</t>
        </is>
      </c>
      <c r="O456" s="16" t="inlineStr"/>
      <c r="P456" s="16" t="inlineStr"/>
    </row>
    <row r="457">
      <c r="A457" s="16" t="inlineStr"/>
      <c r="B457" s="16" t="inlineStr"/>
      <c r="C457" s="16" t="inlineStr">
        <is>
          <t>Document</t>
        </is>
      </c>
      <c r="D457" s="16" t="inlineStr"/>
      <c r="E457" s="16" t="inlineStr"/>
      <c r="F457" s="16" t="inlineStr"/>
      <c r="G457" s="16" t="inlineStr">
        <is>
          <t>Not Started</t>
        </is>
      </c>
      <c r="H457" s="16" t="inlineStr">
        <is>
          <t>Not Reviewed</t>
        </is>
      </c>
      <c r="I457" s="16" t="inlineStr"/>
      <c r="J457" s="20" t="inlineStr"/>
      <c r="K457" s="20" t="inlineStr"/>
      <c r="L457" s="16" t="inlineStr"/>
      <c r="M457" s="16" t="inlineStr"/>
      <c r="N457" s="16" t="inlineStr">
        <is>
          <t>CUI</t>
        </is>
      </c>
      <c r="O457" s="16" t="inlineStr"/>
      <c r="P457" s="16" t="inlineStr"/>
    </row>
    <row r="458">
      <c r="A458" s="16" t="inlineStr"/>
      <c r="B458" s="16" t="inlineStr"/>
      <c r="C458" s="16" t="inlineStr">
        <is>
          <t>Document</t>
        </is>
      </c>
      <c r="D458" s="16" t="inlineStr"/>
      <c r="E458" s="16" t="inlineStr"/>
      <c r="F458" s="16" t="inlineStr"/>
      <c r="G458" s="16" t="inlineStr">
        <is>
          <t>Not Started</t>
        </is>
      </c>
      <c r="H458" s="16" t="inlineStr">
        <is>
          <t>Not Reviewed</t>
        </is>
      </c>
      <c r="I458" s="16" t="inlineStr"/>
      <c r="J458" s="20" t="inlineStr"/>
      <c r="K458" s="20" t="inlineStr"/>
      <c r="L458" s="16" t="inlineStr"/>
      <c r="M458" s="16" t="inlineStr"/>
      <c r="N458" s="16" t="inlineStr">
        <is>
          <t>CUI</t>
        </is>
      </c>
      <c r="O458" s="16" t="inlineStr"/>
      <c r="P458" s="16" t="inlineStr"/>
    </row>
    <row r="459">
      <c r="A459" s="16" t="inlineStr"/>
      <c r="B459" s="16" t="inlineStr"/>
      <c r="C459" s="16" t="inlineStr">
        <is>
          <t>Document</t>
        </is>
      </c>
      <c r="D459" s="16" t="inlineStr"/>
      <c r="E459" s="16" t="inlineStr"/>
      <c r="F459" s="16" t="inlineStr"/>
      <c r="G459" s="16" t="inlineStr">
        <is>
          <t>Not Started</t>
        </is>
      </c>
      <c r="H459" s="16" t="inlineStr">
        <is>
          <t>Not Reviewed</t>
        </is>
      </c>
      <c r="I459" s="16" t="inlineStr"/>
      <c r="J459" s="20" t="inlineStr"/>
      <c r="K459" s="20" t="inlineStr"/>
      <c r="L459" s="16" t="inlineStr"/>
      <c r="M459" s="16" t="inlineStr"/>
      <c r="N459" s="16" t="inlineStr">
        <is>
          <t>CUI</t>
        </is>
      </c>
      <c r="O459" s="16" t="inlineStr"/>
      <c r="P459" s="16" t="inlineStr"/>
    </row>
    <row r="460">
      <c r="A460" s="16" t="inlineStr"/>
      <c r="B460" s="16" t="inlineStr"/>
      <c r="C460" s="16" t="inlineStr">
        <is>
          <t>Document</t>
        </is>
      </c>
      <c r="D460" s="16" t="inlineStr"/>
      <c r="E460" s="16" t="inlineStr"/>
      <c r="F460" s="16" t="inlineStr"/>
      <c r="G460" s="16" t="inlineStr">
        <is>
          <t>Not Started</t>
        </is>
      </c>
      <c r="H460" s="16" t="inlineStr">
        <is>
          <t>Not Reviewed</t>
        </is>
      </c>
      <c r="I460" s="16" t="inlineStr"/>
      <c r="J460" s="20" t="inlineStr"/>
      <c r="K460" s="20" t="inlineStr"/>
      <c r="L460" s="16" t="inlineStr"/>
      <c r="M460" s="16" t="inlineStr"/>
      <c r="N460" s="16" t="inlineStr">
        <is>
          <t>CUI</t>
        </is>
      </c>
      <c r="O460" s="16" t="inlineStr"/>
      <c r="P460" s="16" t="inlineStr"/>
    </row>
    <row r="461">
      <c r="A461" s="16" t="inlineStr"/>
      <c r="B461" s="16" t="inlineStr"/>
      <c r="C461" s="16" t="inlineStr">
        <is>
          <t>Document</t>
        </is>
      </c>
      <c r="D461" s="16" t="inlineStr"/>
      <c r="E461" s="16" t="inlineStr"/>
      <c r="F461" s="16" t="inlineStr"/>
      <c r="G461" s="16" t="inlineStr">
        <is>
          <t>Not Started</t>
        </is>
      </c>
      <c r="H461" s="16" t="inlineStr">
        <is>
          <t>Not Reviewed</t>
        </is>
      </c>
      <c r="I461" s="16" t="inlineStr"/>
      <c r="J461" s="20" t="inlineStr"/>
      <c r="K461" s="20" t="inlineStr"/>
      <c r="L461" s="16" t="inlineStr"/>
      <c r="M461" s="16" t="inlineStr"/>
      <c r="N461" s="16" t="inlineStr">
        <is>
          <t>CUI</t>
        </is>
      </c>
      <c r="O461" s="16" t="inlineStr"/>
      <c r="P461" s="16" t="inlineStr"/>
    </row>
    <row r="462">
      <c r="A462" s="16" t="inlineStr"/>
      <c r="B462" s="16" t="inlineStr"/>
      <c r="C462" s="16" t="inlineStr">
        <is>
          <t>Document</t>
        </is>
      </c>
      <c r="D462" s="16" t="inlineStr"/>
      <c r="E462" s="16" t="inlineStr"/>
      <c r="F462" s="16" t="inlineStr"/>
      <c r="G462" s="16" t="inlineStr">
        <is>
          <t>Not Started</t>
        </is>
      </c>
      <c r="H462" s="16" t="inlineStr">
        <is>
          <t>Not Reviewed</t>
        </is>
      </c>
      <c r="I462" s="16" t="inlineStr"/>
      <c r="J462" s="20" t="inlineStr"/>
      <c r="K462" s="20" t="inlineStr"/>
      <c r="L462" s="16" t="inlineStr"/>
      <c r="M462" s="16" t="inlineStr"/>
      <c r="N462" s="16" t="inlineStr">
        <is>
          <t>CUI</t>
        </is>
      </c>
      <c r="O462" s="16" t="inlineStr"/>
      <c r="P462" s="16" t="inlineStr"/>
    </row>
    <row r="463">
      <c r="A463" s="16" t="inlineStr"/>
      <c r="B463" s="16" t="inlineStr"/>
      <c r="C463" s="16" t="inlineStr">
        <is>
          <t>Document</t>
        </is>
      </c>
      <c r="D463" s="16" t="inlineStr"/>
      <c r="E463" s="16" t="inlineStr"/>
      <c r="F463" s="16" t="inlineStr"/>
      <c r="G463" s="16" t="inlineStr">
        <is>
          <t>Not Started</t>
        </is>
      </c>
      <c r="H463" s="16" t="inlineStr">
        <is>
          <t>Not Reviewed</t>
        </is>
      </c>
      <c r="I463" s="16" t="inlineStr"/>
      <c r="J463" s="20" t="inlineStr"/>
      <c r="K463" s="20" t="inlineStr"/>
      <c r="L463" s="16" t="inlineStr"/>
      <c r="M463" s="16" t="inlineStr"/>
      <c r="N463" s="16" t="inlineStr">
        <is>
          <t>CUI</t>
        </is>
      </c>
      <c r="O463" s="16" t="inlineStr"/>
      <c r="P463" s="16" t="inlineStr"/>
    </row>
    <row r="464">
      <c r="A464" s="16" t="inlineStr"/>
      <c r="B464" s="16" t="inlineStr"/>
      <c r="C464" s="16" t="inlineStr">
        <is>
          <t>Document</t>
        </is>
      </c>
      <c r="D464" s="16" t="inlineStr"/>
      <c r="E464" s="16" t="inlineStr"/>
      <c r="F464" s="16" t="inlineStr"/>
      <c r="G464" s="16" t="inlineStr">
        <is>
          <t>Not Started</t>
        </is>
      </c>
      <c r="H464" s="16" t="inlineStr">
        <is>
          <t>Not Reviewed</t>
        </is>
      </c>
      <c r="I464" s="16" t="inlineStr"/>
      <c r="J464" s="20" t="inlineStr"/>
      <c r="K464" s="20" t="inlineStr"/>
      <c r="L464" s="16" t="inlineStr"/>
      <c r="M464" s="16" t="inlineStr"/>
      <c r="N464" s="16" t="inlineStr">
        <is>
          <t>CUI</t>
        </is>
      </c>
      <c r="O464" s="16" t="inlineStr"/>
      <c r="P464" s="16" t="inlineStr"/>
    </row>
    <row r="465">
      <c r="A465" s="16" t="inlineStr"/>
      <c r="B465" s="16" t="inlineStr"/>
      <c r="C465" s="16" t="inlineStr">
        <is>
          <t>Document</t>
        </is>
      </c>
      <c r="D465" s="16" t="inlineStr"/>
      <c r="E465" s="16" t="inlineStr"/>
      <c r="F465" s="16" t="inlineStr"/>
      <c r="G465" s="16" t="inlineStr">
        <is>
          <t>Not Started</t>
        </is>
      </c>
      <c r="H465" s="16" t="inlineStr">
        <is>
          <t>Not Reviewed</t>
        </is>
      </c>
      <c r="I465" s="16" t="inlineStr"/>
      <c r="J465" s="20" t="inlineStr"/>
      <c r="K465" s="20" t="inlineStr"/>
      <c r="L465" s="16" t="inlineStr"/>
      <c r="M465" s="16" t="inlineStr"/>
      <c r="N465" s="16" t="inlineStr">
        <is>
          <t>CUI</t>
        </is>
      </c>
      <c r="O465" s="16" t="inlineStr"/>
      <c r="P465" s="16" t="inlineStr"/>
    </row>
    <row r="466">
      <c r="A466" s="16" t="inlineStr"/>
      <c r="B466" s="16" t="inlineStr"/>
      <c r="C466" s="16" t="inlineStr">
        <is>
          <t>Document</t>
        </is>
      </c>
      <c r="D466" s="16" t="inlineStr"/>
      <c r="E466" s="16" t="inlineStr"/>
      <c r="F466" s="16" t="inlineStr"/>
      <c r="G466" s="16" t="inlineStr">
        <is>
          <t>Not Started</t>
        </is>
      </c>
      <c r="H466" s="16" t="inlineStr">
        <is>
          <t>Not Reviewed</t>
        </is>
      </c>
      <c r="I466" s="16" t="inlineStr"/>
      <c r="J466" s="20" t="inlineStr"/>
      <c r="K466" s="20" t="inlineStr"/>
      <c r="L466" s="16" t="inlineStr"/>
      <c r="M466" s="16" t="inlineStr"/>
      <c r="N466" s="16" t="inlineStr">
        <is>
          <t>CUI</t>
        </is>
      </c>
      <c r="O466" s="16" t="inlineStr"/>
      <c r="P466" s="16" t="inlineStr"/>
    </row>
    <row r="467">
      <c r="A467" s="16" t="inlineStr"/>
      <c r="B467" s="16" t="inlineStr"/>
      <c r="C467" s="16" t="inlineStr">
        <is>
          <t>Document</t>
        </is>
      </c>
      <c r="D467" s="16" t="inlineStr"/>
      <c r="E467" s="16" t="inlineStr"/>
      <c r="F467" s="16" t="inlineStr"/>
      <c r="G467" s="16" t="inlineStr">
        <is>
          <t>Not Started</t>
        </is>
      </c>
      <c r="H467" s="16" t="inlineStr">
        <is>
          <t>Not Reviewed</t>
        </is>
      </c>
      <c r="I467" s="16" t="inlineStr"/>
      <c r="J467" s="20" t="inlineStr"/>
      <c r="K467" s="20" t="inlineStr"/>
      <c r="L467" s="16" t="inlineStr"/>
      <c r="M467" s="16" t="inlineStr"/>
      <c r="N467" s="16" t="inlineStr">
        <is>
          <t>CUI</t>
        </is>
      </c>
      <c r="O467" s="16" t="inlineStr"/>
      <c r="P467" s="16" t="inlineStr"/>
    </row>
    <row r="468">
      <c r="A468" s="16" t="inlineStr"/>
      <c r="B468" s="16" t="inlineStr"/>
      <c r="C468" s="16" t="inlineStr">
        <is>
          <t>Document</t>
        </is>
      </c>
      <c r="D468" s="16" t="inlineStr"/>
      <c r="E468" s="16" t="inlineStr"/>
      <c r="F468" s="16" t="inlineStr"/>
      <c r="G468" s="16" t="inlineStr">
        <is>
          <t>Not Started</t>
        </is>
      </c>
      <c r="H468" s="16" t="inlineStr">
        <is>
          <t>Not Reviewed</t>
        </is>
      </c>
      <c r="I468" s="16" t="inlineStr"/>
      <c r="J468" s="20" t="inlineStr"/>
      <c r="K468" s="20" t="inlineStr"/>
      <c r="L468" s="16" t="inlineStr"/>
      <c r="M468" s="16" t="inlineStr"/>
      <c r="N468" s="16" t="inlineStr">
        <is>
          <t>CUI</t>
        </is>
      </c>
      <c r="O468" s="16" t="inlineStr"/>
      <c r="P468" s="16" t="inlineStr"/>
    </row>
    <row r="469">
      <c r="A469" s="16" t="inlineStr"/>
      <c r="B469" s="16" t="inlineStr"/>
      <c r="C469" s="16" t="inlineStr">
        <is>
          <t>Document</t>
        </is>
      </c>
      <c r="D469" s="16" t="inlineStr"/>
      <c r="E469" s="16" t="inlineStr"/>
      <c r="F469" s="16" t="inlineStr"/>
      <c r="G469" s="16" t="inlineStr">
        <is>
          <t>Not Started</t>
        </is>
      </c>
      <c r="H469" s="16" t="inlineStr">
        <is>
          <t>Not Reviewed</t>
        </is>
      </c>
      <c r="I469" s="16" t="inlineStr"/>
      <c r="J469" s="20" t="inlineStr"/>
      <c r="K469" s="20" t="inlineStr"/>
      <c r="L469" s="16" t="inlineStr"/>
      <c r="M469" s="16" t="inlineStr"/>
      <c r="N469" s="16" t="inlineStr">
        <is>
          <t>CUI</t>
        </is>
      </c>
      <c r="O469" s="16" t="inlineStr"/>
      <c r="P469" s="16" t="inlineStr"/>
    </row>
    <row r="470">
      <c r="A470" s="16" t="inlineStr"/>
      <c r="B470" s="16" t="inlineStr"/>
      <c r="C470" s="16" t="inlineStr">
        <is>
          <t>Document</t>
        </is>
      </c>
      <c r="D470" s="16" t="inlineStr"/>
      <c r="E470" s="16" t="inlineStr"/>
      <c r="F470" s="16" t="inlineStr"/>
      <c r="G470" s="16" t="inlineStr">
        <is>
          <t>Not Started</t>
        </is>
      </c>
      <c r="H470" s="16" t="inlineStr">
        <is>
          <t>Not Reviewed</t>
        </is>
      </c>
      <c r="I470" s="16" t="inlineStr"/>
      <c r="J470" s="20" t="inlineStr"/>
      <c r="K470" s="20" t="inlineStr"/>
      <c r="L470" s="16" t="inlineStr"/>
      <c r="M470" s="16" t="inlineStr"/>
      <c r="N470" s="16" t="inlineStr">
        <is>
          <t>CUI</t>
        </is>
      </c>
      <c r="O470" s="16" t="inlineStr"/>
      <c r="P470" s="16" t="inlineStr"/>
    </row>
    <row r="471">
      <c r="A471" s="16" t="inlineStr"/>
      <c r="B471" s="16" t="inlineStr"/>
      <c r="C471" s="16" t="inlineStr">
        <is>
          <t>Document</t>
        </is>
      </c>
      <c r="D471" s="16" t="inlineStr"/>
      <c r="E471" s="16" t="inlineStr"/>
      <c r="F471" s="16" t="inlineStr"/>
      <c r="G471" s="16" t="inlineStr">
        <is>
          <t>Not Started</t>
        </is>
      </c>
      <c r="H471" s="16" t="inlineStr">
        <is>
          <t>Not Reviewed</t>
        </is>
      </c>
      <c r="I471" s="16" t="inlineStr"/>
      <c r="J471" s="20" t="inlineStr"/>
      <c r="K471" s="20" t="inlineStr"/>
      <c r="L471" s="16" t="inlineStr"/>
      <c r="M471" s="16" t="inlineStr"/>
      <c r="N471" s="16" t="inlineStr">
        <is>
          <t>CUI</t>
        </is>
      </c>
      <c r="O471" s="16" t="inlineStr"/>
      <c r="P471" s="16" t="inlineStr"/>
    </row>
    <row r="472">
      <c r="A472" s="16" t="inlineStr"/>
      <c r="B472" s="16" t="inlineStr"/>
      <c r="C472" s="16" t="inlineStr">
        <is>
          <t>Document</t>
        </is>
      </c>
      <c r="D472" s="16" t="inlineStr"/>
      <c r="E472" s="16" t="inlineStr"/>
      <c r="F472" s="16" t="inlineStr"/>
      <c r="G472" s="16" t="inlineStr">
        <is>
          <t>Not Started</t>
        </is>
      </c>
      <c r="H472" s="16" t="inlineStr">
        <is>
          <t>Not Reviewed</t>
        </is>
      </c>
      <c r="I472" s="16" t="inlineStr"/>
      <c r="J472" s="20" t="inlineStr"/>
      <c r="K472" s="20" t="inlineStr"/>
      <c r="L472" s="16" t="inlineStr"/>
      <c r="M472" s="16" t="inlineStr"/>
      <c r="N472" s="16" t="inlineStr">
        <is>
          <t>CUI</t>
        </is>
      </c>
      <c r="O472" s="16" t="inlineStr"/>
      <c r="P472" s="16" t="inlineStr"/>
    </row>
    <row r="473">
      <c r="A473" s="16" t="inlineStr"/>
      <c r="B473" s="16" t="inlineStr"/>
      <c r="C473" s="16" t="inlineStr">
        <is>
          <t>Document</t>
        </is>
      </c>
      <c r="D473" s="16" t="inlineStr"/>
      <c r="E473" s="16" t="inlineStr"/>
      <c r="F473" s="16" t="inlineStr"/>
      <c r="G473" s="16" t="inlineStr">
        <is>
          <t>Not Started</t>
        </is>
      </c>
      <c r="H473" s="16" t="inlineStr">
        <is>
          <t>Not Reviewed</t>
        </is>
      </c>
      <c r="I473" s="16" t="inlineStr"/>
      <c r="J473" s="20" t="inlineStr"/>
      <c r="K473" s="20" t="inlineStr"/>
      <c r="L473" s="16" t="inlineStr"/>
      <c r="M473" s="16" t="inlineStr"/>
      <c r="N473" s="16" t="inlineStr">
        <is>
          <t>CUI</t>
        </is>
      </c>
      <c r="O473" s="16" t="inlineStr"/>
      <c r="P473" s="16" t="inlineStr"/>
    </row>
    <row r="474">
      <c r="A474" s="16" t="inlineStr"/>
      <c r="B474" s="16" t="inlineStr"/>
      <c r="C474" s="16" t="inlineStr">
        <is>
          <t>Document</t>
        </is>
      </c>
      <c r="D474" s="16" t="inlineStr"/>
      <c r="E474" s="16" t="inlineStr"/>
      <c r="F474" s="16" t="inlineStr"/>
      <c r="G474" s="16" t="inlineStr">
        <is>
          <t>Not Started</t>
        </is>
      </c>
      <c r="H474" s="16" t="inlineStr">
        <is>
          <t>Not Reviewed</t>
        </is>
      </c>
      <c r="I474" s="16" t="inlineStr"/>
      <c r="J474" s="20" t="inlineStr"/>
      <c r="K474" s="20" t="inlineStr"/>
      <c r="L474" s="16" t="inlineStr"/>
      <c r="M474" s="16" t="inlineStr"/>
      <c r="N474" s="16" t="inlineStr">
        <is>
          <t>CUI</t>
        </is>
      </c>
      <c r="O474" s="16" t="inlineStr"/>
      <c r="P474" s="16" t="inlineStr"/>
    </row>
    <row r="475">
      <c r="A475" s="16" t="inlineStr"/>
      <c r="B475" s="16" t="inlineStr"/>
      <c r="C475" s="16" t="inlineStr">
        <is>
          <t>Document</t>
        </is>
      </c>
      <c r="D475" s="16" t="inlineStr"/>
      <c r="E475" s="16" t="inlineStr"/>
      <c r="F475" s="16" t="inlineStr"/>
      <c r="G475" s="16" t="inlineStr">
        <is>
          <t>Not Started</t>
        </is>
      </c>
      <c r="H475" s="16" t="inlineStr">
        <is>
          <t>Not Reviewed</t>
        </is>
      </c>
      <c r="I475" s="16" t="inlineStr"/>
      <c r="J475" s="20" t="inlineStr"/>
      <c r="K475" s="20" t="inlineStr"/>
      <c r="L475" s="16" t="inlineStr"/>
      <c r="M475" s="16" t="inlineStr"/>
      <c r="N475" s="16" t="inlineStr">
        <is>
          <t>CUI</t>
        </is>
      </c>
      <c r="O475" s="16" t="inlineStr"/>
      <c r="P475" s="16" t="inlineStr"/>
    </row>
    <row r="476">
      <c r="A476" s="16" t="inlineStr"/>
      <c r="B476" s="16" t="inlineStr"/>
      <c r="C476" s="16" t="inlineStr">
        <is>
          <t>Document</t>
        </is>
      </c>
      <c r="D476" s="16" t="inlineStr"/>
      <c r="E476" s="16" t="inlineStr"/>
      <c r="F476" s="16" t="inlineStr"/>
      <c r="G476" s="16" t="inlineStr">
        <is>
          <t>Not Started</t>
        </is>
      </c>
      <c r="H476" s="16" t="inlineStr">
        <is>
          <t>Not Reviewed</t>
        </is>
      </c>
      <c r="I476" s="16" t="inlineStr"/>
      <c r="J476" s="20" t="inlineStr"/>
      <c r="K476" s="20" t="inlineStr"/>
      <c r="L476" s="16" t="inlineStr"/>
      <c r="M476" s="16" t="inlineStr"/>
      <c r="N476" s="16" t="inlineStr">
        <is>
          <t>CUI</t>
        </is>
      </c>
      <c r="O476" s="16" t="inlineStr"/>
      <c r="P476" s="16" t="inlineStr"/>
    </row>
    <row r="477">
      <c r="A477" s="16" t="inlineStr"/>
      <c r="B477" s="16" t="inlineStr"/>
      <c r="C477" s="16" t="inlineStr">
        <is>
          <t>Document</t>
        </is>
      </c>
      <c r="D477" s="16" t="inlineStr"/>
      <c r="E477" s="16" t="inlineStr"/>
      <c r="F477" s="16" t="inlineStr"/>
      <c r="G477" s="16" t="inlineStr">
        <is>
          <t>Not Started</t>
        </is>
      </c>
      <c r="H477" s="16" t="inlineStr">
        <is>
          <t>Not Reviewed</t>
        </is>
      </c>
      <c r="I477" s="16" t="inlineStr"/>
      <c r="J477" s="20" t="inlineStr"/>
      <c r="K477" s="20" t="inlineStr"/>
      <c r="L477" s="16" t="inlineStr"/>
      <c r="M477" s="16" t="inlineStr"/>
      <c r="N477" s="16" t="inlineStr">
        <is>
          <t>CUI</t>
        </is>
      </c>
      <c r="O477" s="16" t="inlineStr"/>
      <c r="P477" s="16" t="inlineStr"/>
    </row>
    <row r="478">
      <c r="A478" s="16" t="inlineStr"/>
      <c r="B478" s="16" t="inlineStr"/>
      <c r="C478" s="16" t="inlineStr">
        <is>
          <t>Document</t>
        </is>
      </c>
      <c r="D478" s="16" t="inlineStr"/>
      <c r="E478" s="16" t="inlineStr"/>
      <c r="F478" s="16" t="inlineStr"/>
      <c r="G478" s="16" t="inlineStr">
        <is>
          <t>Not Started</t>
        </is>
      </c>
      <c r="H478" s="16" t="inlineStr">
        <is>
          <t>Not Reviewed</t>
        </is>
      </c>
      <c r="I478" s="16" t="inlineStr"/>
      <c r="J478" s="20" t="inlineStr"/>
      <c r="K478" s="20" t="inlineStr"/>
      <c r="L478" s="16" t="inlineStr"/>
      <c r="M478" s="16" t="inlineStr"/>
      <c r="N478" s="16" t="inlineStr">
        <is>
          <t>CUI</t>
        </is>
      </c>
      <c r="O478" s="16" t="inlineStr"/>
      <c r="P478" s="16" t="inlineStr"/>
    </row>
    <row r="479">
      <c r="A479" s="16" t="inlineStr"/>
      <c r="B479" s="16" t="inlineStr"/>
      <c r="C479" s="16" t="inlineStr">
        <is>
          <t>Document</t>
        </is>
      </c>
      <c r="D479" s="16" t="inlineStr"/>
      <c r="E479" s="16" t="inlineStr"/>
      <c r="F479" s="16" t="inlineStr"/>
      <c r="G479" s="16" t="inlineStr">
        <is>
          <t>Not Started</t>
        </is>
      </c>
      <c r="H479" s="16" t="inlineStr">
        <is>
          <t>Not Reviewed</t>
        </is>
      </c>
      <c r="I479" s="16" t="inlineStr"/>
      <c r="J479" s="20" t="inlineStr"/>
      <c r="K479" s="20" t="inlineStr"/>
      <c r="L479" s="16" t="inlineStr"/>
      <c r="M479" s="16" t="inlineStr"/>
      <c r="N479" s="16" t="inlineStr">
        <is>
          <t>CUI</t>
        </is>
      </c>
      <c r="O479" s="16" t="inlineStr"/>
      <c r="P479" s="16" t="inlineStr"/>
    </row>
    <row r="480">
      <c r="A480" s="16" t="inlineStr"/>
      <c r="B480" s="16" t="inlineStr"/>
      <c r="C480" s="16" t="inlineStr">
        <is>
          <t>Document</t>
        </is>
      </c>
      <c r="D480" s="16" t="inlineStr"/>
      <c r="E480" s="16" t="inlineStr"/>
      <c r="F480" s="16" t="inlineStr"/>
      <c r="G480" s="16" t="inlineStr">
        <is>
          <t>Not Started</t>
        </is>
      </c>
      <c r="H480" s="16" t="inlineStr">
        <is>
          <t>Not Reviewed</t>
        </is>
      </c>
      <c r="I480" s="16" t="inlineStr"/>
      <c r="J480" s="20" t="inlineStr"/>
      <c r="K480" s="20" t="inlineStr"/>
      <c r="L480" s="16" t="inlineStr"/>
      <c r="M480" s="16" t="inlineStr"/>
      <c r="N480" s="16" t="inlineStr">
        <is>
          <t>CUI</t>
        </is>
      </c>
      <c r="O480" s="16" t="inlineStr"/>
      <c r="P480" s="16" t="inlineStr"/>
    </row>
    <row r="481">
      <c r="A481" s="16" t="inlineStr"/>
      <c r="B481" s="16" t="inlineStr"/>
      <c r="C481" s="16" t="inlineStr">
        <is>
          <t>Document</t>
        </is>
      </c>
      <c r="D481" s="16" t="inlineStr"/>
      <c r="E481" s="16" t="inlineStr"/>
      <c r="F481" s="16" t="inlineStr"/>
      <c r="G481" s="16" t="inlineStr">
        <is>
          <t>Not Started</t>
        </is>
      </c>
      <c r="H481" s="16" t="inlineStr">
        <is>
          <t>Not Reviewed</t>
        </is>
      </c>
      <c r="I481" s="16" t="inlineStr"/>
      <c r="J481" s="20" t="inlineStr"/>
      <c r="K481" s="20" t="inlineStr"/>
      <c r="L481" s="16" t="inlineStr"/>
      <c r="M481" s="16" t="inlineStr"/>
      <c r="N481" s="16" t="inlineStr">
        <is>
          <t>CUI</t>
        </is>
      </c>
      <c r="O481" s="16" t="inlineStr"/>
      <c r="P481" s="16" t="inlineStr"/>
    </row>
    <row r="482">
      <c r="A482" s="16" t="inlineStr"/>
      <c r="B482" s="16" t="inlineStr"/>
      <c r="C482" s="16" t="inlineStr">
        <is>
          <t>Document</t>
        </is>
      </c>
      <c r="D482" s="16" t="inlineStr"/>
      <c r="E482" s="16" t="inlineStr"/>
      <c r="F482" s="16" t="inlineStr"/>
      <c r="G482" s="16" t="inlineStr">
        <is>
          <t>Not Started</t>
        </is>
      </c>
      <c r="H482" s="16" t="inlineStr">
        <is>
          <t>Not Reviewed</t>
        </is>
      </c>
      <c r="I482" s="16" t="inlineStr"/>
      <c r="J482" s="20" t="inlineStr"/>
      <c r="K482" s="20" t="inlineStr"/>
      <c r="L482" s="16" t="inlineStr"/>
      <c r="M482" s="16" t="inlineStr"/>
      <c r="N482" s="16" t="inlineStr">
        <is>
          <t>CUI</t>
        </is>
      </c>
      <c r="O482" s="16" t="inlineStr"/>
      <c r="P482" s="16" t="inlineStr"/>
    </row>
    <row r="483">
      <c r="A483" s="16" t="inlineStr"/>
      <c r="B483" s="16" t="inlineStr"/>
      <c r="C483" s="16" t="inlineStr">
        <is>
          <t>Document</t>
        </is>
      </c>
      <c r="D483" s="16" t="inlineStr"/>
      <c r="E483" s="16" t="inlineStr"/>
      <c r="F483" s="16" t="inlineStr"/>
      <c r="G483" s="16" t="inlineStr">
        <is>
          <t>Not Started</t>
        </is>
      </c>
      <c r="H483" s="16" t="inlineStr">
        <is>
          <t>Not Reviewed</t>
        </is>
      </c>
      <c r="I483" s="16" t="inlineStr"/>
      <c r="J483" s="20" t="inlineStr"/>
      <c r="K483" s="20" t="inlineStr"/>
      <c r="L483" s="16" t="inlineStr"/>
      <c r="M483" s="16" t="inlineStr"/>
      <c r="N483" s="16" t="inlineStr">
        <is>
          <t>CUI</t>
        </is>
      </c>
      <c r="O483" s="16" t="inlineStr"/>
      <c r="P483" s="16" t="inlineStr"/>
    </row>
    <row r="484">
      <c r="A484" s="16" t="inlineStr"/>
      <c r="B484" s="16" t="inlineStr"/>
      <c r="C484" s="16" t="inlineStr">
        <is>
          <t>Document</t>
        </is>
      </c>
      <c r="D484" s="16" t="inlineStr"/>
      <c r="E484" s="16" t="inlineStr"/>
      <c r="F484" s="16" t="inlineStr"/>
      <c r="G484" s="16" t="inlineStr">
        <is>
          <t>Not Started</t>
        </is>
      </c>
      <c r="H484" s="16" t="inlineStr">
        <is>
          <t>Not Reviewed</t>
        </is>
      </c>
      <c r="I484" s="16" t="inlineStr"/>
      <c r="J484" s="20" t="inlineStr"/>
      <c r="K484" s="20" t="inlineStr"/>
      <c r="L484" s="16" t="inlineStr"/>
      <c r="M484" s="16" t="inlineStr"/>
      <c r="N484" s="16" t="inlineStr">
        <is>
          <t>CUI</t>
        </is>
      </c>
      <c r="O484" s="16" t="inlineStr"/>
      <c r="P484" s="16" t="inlineStr"/>
    </row>
    <row r="485">
      <c r="A485" s="16" t="inlineStr"/>
      <c r="B485" s="16" t="inlineStr"/>
      <c r="C485" s="16" t="inlineStr">
        <is>
          <t>Document</t>
        </is>
      </c>
      <c r="D485" s="16" t="inlineStr"/>
      <c r="E485" s="16" t="inlineStr"/>
      <c r="F485" s="16" t="inlineStr"/>
      <c r="G485" s="16" t="inlineStr">
        <is>
          <t>Not Started</t>
        </is>
      </c>
      <c r="H485" s="16" t="inlineStr">
        <is>
          <t>Not Reviewed</t>
        </is>
      </c>
      <c r="I485" s="16" t="inlineStr"/>
      <c r="J485" s="20" t="inlineStr"/>
      <c r="K485" s="20" t="inlineStr"/>
      <c r="L485" s="16" t="inlineStr"/>
      <c r="M485" s="16" t="inlineStr"/>
      <c r="N485" s="16" t="inlineStr">
        <is>
          <t>CUI</t>
        </is>
      </c>
      <c r="O485" s="16" t="inlineStr"/>
      <c r="P485" s="16" t="inlineStr"/>
    </row>
    <row r="486">
      <c r="A486" s="16" t="inlineStr"/>
      <c r="B486" s="16" t="inlineStr"/>
      <c r="C486" s="16" t="inlineStr">
        <is>
          <t>Document</t>
        </is>
      </c>
      <c r="D486" s="16" t="inlineStr"/>
      <c r="E486" s="16" t="inlineStr"/>
      <c r="F486" s="16" t="inlineStr"/>
      <c r="G486" s="16" t="inlineStr">
        <is>
          <t>Not Started</t>
        </is>
      </c>
      <c r="H486" s="16" t="inlineStr">
        <is>
          <t>Not Reviewed</t>
        </is>
      </c>
      <c r="I486" s="16" t="inlineStr"/>
      <c r="J486" s="20" t="inlineStr"/>
      <c r="K486" s="20" t="inlineStr"/>
      <c r="L486" s="16" t="inlineStr"/>
      <c r="M486" s="16" t="inlineStr"/>
      <c r="N486" s="16" t="inlineStr">
        <is>
          <t>CUI</t>
        </is>
      </c>
      <c r="O486" s="16" t="inlineStr"/>
      <c r="P486" s="16" t="inlineStr"/>
    </row>
    <row r="487">
      <c r="A487" s="16" t="inlineStr"/>
      <c r="B487" s="16" t="inlineStr"/>
      <c r="C487" s="16" t="inlineStr">
        <is>
          <t>Document</t>
        </is>
      </c>
      <c r="D487" s="16" t="inlineStr"/>
      <c r="E487" s="16" t="inlineStr"/>
      <c r="F487" s="16" t="inlineStr"/>
      <c r="G487" s="16" t="inlineStr">
        <is>
          <t>Not Started</t>
        </is>
      </c>
      <c r="H487" s="16" t="inlineStr">
        <is>
          <t>Not Reviewed</t>
        </is>
      </c>
      <c r="I487" s="16" t="inlineStr"/>
      <c r="J487" s="20" t="inlineStr"/>
      <c r="K487" s="20" t="inlineStr"/>
      <c r="L487" s="16" t="inlineStr"/>
      <c r="M487" s="16" t="inlineStr"/>
      <c r="N487" s="16" t="inlineStr">
        <is>
          <t>CUI</t>
        </is>
      </c>
      <c r="O487" s="16" t="inlineStr"/>
      <c r="P487" s="16" t="inlineStr"/>
    </row>
    <row r="488">
      <c r="A488" s="16" t="inlineStr"/>
      <c r="B488" s="16" t="inlineStr"/>
      <c r="C488" s="16" t="inlineStr">
        <is>
          <t>Document</t>
        </is>
      </c>
      <c r="D488" s="16" t="inlineStr"/>
      <c r="E488" s="16" t="inlineStr"/>
      <c r="F488" s="16" t="inlineStr"/>
      <c r="G488" s="16" t="inlineStr">
        <is>
          <t>Not Started</t>
        </is>
      </c>
      <c r="H488" s="16" t="inlineStr">
        <is>
          <t>Not Reviewed</t>
        </is>
      </c>
      <c r="I488" s="16" t="inlineStr"/>
      <c r="J488" s="20" t="inlineStr"/>
      <c r="K488" s="20" t="inlineStr"/>
      <c r="L488" s="16" t="inlineStr"/>
      <c r="M488" s="16" t="inlineStr"/>
      <c r="N488" s="16" t="inlineStr">
        <is>
          <t>CUI</t>
        </is>
      </c>
      <c r="O488" s="16" t="inlineStr"/>
      <c r="P488" s="16" t="inlineStr"/>
    </row>
    <row r="489">
      <c r="A489" s="16" t="inlineStr"/>
      <c r="B489" s="16" t="inlineStr"/>
      <c r="C489" s="16" t="inlineStr">
        <is>
          <t>Document</t>
        </is>
      </c>
      <c r="D489" s="16" t="inlineStr"/>
      <c r="E489" s="16" t="inlineStr"/>
      <c r="F489" s="16" t="inlineStr"/>
      <c r="G489" s="16" t="inlineStr">
        <is>
          <t>Not Started</t>
        </is>
      </c>
      <c r="H489" s="16" t="inlineStr">
        <is>
          <t>Not Reviewed</t>
        </is>
      </c>
      <c r="I489" s="16" t="inlineStr"/>
      <c r="J489" s="20" t="inlineStr"/>
      <c r="K489" s="20" t="inlineStr"/>
      <c r="L489" s="16" t="inlineStr"/>
      <c r="M489" s="16" t="inlineStr"/>
      <c r="N489" s="16" t="inlineStr">
        <is>
          <t>CUI</t>
        </is>
      </c>
      <c r="O489" s="16" t="inlineStr"/>
      <c r="P489" s="16" t="inlineStr"/>
    </row>
    <row r="490">
      <c r="A490" s="16" t="inlineStr"/>
      <c r="B490" s="16" t="inlineStr"/>
      <c r="C490" s="16" t="inlineStr">
        <is>
          <t>Document</t>
        </is>
      </c>
      <c r="D490" s="16" t="inlineStr"/>
      <c r="E490" s="16" t="inlineStr"/>
      <c r="F490" s="16" t="inlineStr"/>
      <c r="G490" s="16" t="inlineStr">
        <is>
          <t>Not Started</t>
        </is>
      </c>
      <c r="H490" s="16" t="inlineStr">
        <is>
          <t>Not Reviewed</t>
        </is>
      </c>
      <c r="I490" s="16" t="inlineStr"/>
      <c r="J490" s="20" t="inlineStr"/>
      <c r="K490" s="20" t="inlineStr"/>
      <c r="L490" s="16" t="inlineStr"/>
      <c r="M490" s="16" t="inlineStr"/>
      <c r="N490" s="16" t="inlineStr">
        <is>
          <t>CUI</t>
        </is>
      </c>
      <c r="O490" s="16" t="inlineStr"/>
      <c r="P490" s="16" t="inlineStr"/>
    </row>
    <row r="491">
      <c r="A491" s="16" t="inlineStr"/>
      <c r="B491" s="16" t="inlineStr"/>
      <c r="C491" s="16" t="inlineStr">
        <is>
          <t>Document</t>
        </is>
      </c>
      <c r="D491" s="16" t="inlineStr"/>
      <c r="E491" s="16" t="inlineStr"/>
      <c r="F491" s="16" t="inlineStr"/>
      <c r="G491" s="16" t="inlineStr">
        <is>
          <t>Not Started</t>
        </is>
      </c>
      <c r="H491" s="16" t="inlineStr">
        <is>
          <t>Not Reviewed</t>
        </is>
      </c>
      <c r="I491" s="16" t="inlineStr"/>
      <c r="J491" s="20" t="inlineStr"/>
      <c r="K491" s="20" t="inlineStr"/>
      <c r="L491" s="16" t="inlineStr"/>
      <c r="M491" s="16" t="inlineStr"/>
      <c r="N491" s="16" t="inlineStr">
        <is>
          <t>CUI</t>
        </is>
      </c>
      <c r="O491" s="16" t="inlineStr"/>
      <c r="P491" s="16" t="inlineStr"/>
    </row>
    <row r="492">
      <c r="A492" s="16" t="inlineStr"/>
      <c r="B492" s="16" t="inlineStr"/>
      <c r="C492" s="16" t="inlineStr">
        <is>
          <t>Document</t>
        </is>
      </c>
      <c r="D492" s="16" t="inlineStr"/>
      <c r="E492" s="16" t="inlineStr"/>
      <c r="F492" s="16" t="inlineStr"/>
      <c r="G492" s="16" t="inlineStr">
        <is>
          <t>Not Started</t>
        </is>
      </c>
      <c r="H492" s="16" t="inlineStr">
        <is>
          <t>Not Reviewed</t>
        </is>
      </c>
      <c r="I492" s="16" t="inlineStr"/>
      <c r="J492" s="20" t="inlineStr"/>
      <c r="K492" s="20" t="inlineStr"/>
      <c r="L492" s="16" t="inlineStr"/>
      <c r="M492" s="16" t="inlineStr"/>
      <c r="N492" s="16" t="inlineStr">
        <is>
          <t>CUI</t>
        </is>
      </c>
      <c r="O492" s="16" t="inlineStr"/>
      <c r="P492" s="16" t="inlineStr"/>
    </row>
    <row r="493">
      <c r="A493" s="16" t="inlineStr"/>
      <c r="B493" s="16" t="inlineStr"/>
      <c r="C493" s="16" t="inlineStr">
        <is>
          <t>Document</t>
        </is>
      </c>
      <c r="D493" s="16" t="inlineStr"/>
      <c r="E493" s="16" t="inlineStr"/>
      <c r="F493" s="16" t="inlineStr"/>
      <c r="G493" s="16" t="inlineStr">
        <is>
          <t>Not Started</t>
        </is>
      </c>
      <c r="H493" s="16" t="inlineStr">
        <is>
          <t>Not Reviewed</t>
        </is>
      </c>
      <c r="I493" s="16" t="inlineStr"/>
      <c r="J493" s="20" t="inlineStr"/>
      <c r="K493" s="20" t="inlineStr"/>
      <c r="L493" s="16" t="inlineStr"/>
      <c r="M493" s="16" t="inlineStr"/>
      <c r="N493" s="16" t="inlineStr">
        <is>
          <t>CUI</t>
        </is>
      </c>
      <c r="O493" s="16" t="inlineStr"/>
      <c r="P493" s="16" t="inlineStr"/>
    </row>
    <row r="494">
      <c r="A494" s="16" t="inlineStr"/>
      <c r="B494" s="16" t="inlineStr"/>
      <c r="C494" s="16" t="inlineStr">
        <is>
          <t>Document</t>
        </is>
      </c>
      <c r="D494" s="16" t="inlineStr"/>
      <c r="E494" s="16" t="inlineStr"/>
      <c r="F494" s="16" t="inlineStr"/>
      <c r="G494" s="16" t="inlineStr">
        <is>
          <t>Not Started</t>
        </is>
      </c>
      <c r="H494" s="16" t="inlineStr">
        <is>
          <t>Not Reviewed</t>
        </is>
      </c>
      <c r="I494" s="16" t="inlineStr"/>
      <c r="J494" s="20" t="inlineStr"/>
      <c r="K494" s="20" t="inlineStr"/>
      <c r="L494" s="16" t="inlineStr"/>
      <c r="M494" s="16" t="inlineStr"/>
      <c r="N494" s="16" t="inlineStr">
        <is>
          <t>CUI</t>
        </is>
      </c>
      <c r="O494" s="16" t="inlineStr"/>
      <c r="P494" s="16" t="inlineStr"/>
    </row>
    <row r="495">
      <c r="A495" s="16" t="inlineStr"/>
      <c r="B495" s="16" t="inlineStr"/>
      <c r="C495" s="16" t="inlineStr">
        <is>
          <t>Document</t>
        </is>
      </c>
      <c r="D495" s="16" t="inlineStr"/>
      <c r="E495" s="16" t="inlineStr"/>
      <c r="F495" s="16" t="inlineStr"/>
      <c r="G495" s="16" t="inlineStr">
        <is>
          <t>Not Started</t>
        </is>
      </c>
      <c r="H495" s="16" t="inlineStr">
        <is>
          <t>Not Reviewed</t>
        </is>
      </c>
      <c r="I495" s="16" t="inlineStr"/>
      <c r="J495" s="20" t="inlineStr"/>
      <c r="K495" s="20" t="inlineStr"/>
      <c r="L495" s="16" t="inlineStr"/>
      <c r="M495" s="16" t="inlineStr"/>
      <c r="N495" s="16" t="inlineStr">
        <is>
          <t>CUI</t>
        </is>
      </c>
      <c r="O495" s="16" t="inlineStr"/>
      <c r="P495" s="16" t="inlineStr"/>
    </row>
    <row r="496">
      <c r="A496" s="16" t="inlineStr"/>
      <c r="B496" s="16" t="inlineStr"/>
      <c r="C496" s="16" t="inlineStr">
        <is>
          <t>Document</t>
        </is>
      </c>
      <c r="D496" s="16" t="inlineStr"/>
      <c r="E496" s="16" t="inlineStr"/>
      <c r="F496" s="16" t="inlineStr"/>
      <c r="G496" s="16" t="inlineStr">
        <is>
          <t>Not Started</t>
        </is>
      </c>
      <c r="H496" s="16" t="inlineStr">
        <is>
          <t>Not Reviewed</t>
        </is>
      </c>
      <c r="I496" s="16" t="inlineStr"/>
      <c r="J496" s="20" t="inlineStr"/>
      <c r="K496" s="20" t="inlineStr"/>
      <c r="L496" s="16" t="inlineStr"/>
      <c r="M496" s="16" t="inlineStr"/>
      <c r="N496" s="16" t="inlineStr">
        <is>
          <t>CUI</t>
        </is>
      </c>
      <c r="O496" s="16" t="inlineStr"/>
      <c r="P496" s="16" t="inlineStr"/>
    </row>
    <row r="497">
      <c r="A497" s="16" t="inlineStr"/>
      <c r="B497" s="16" t="inlineStr"/>
      <c r="C497" s="16" t="inlineStr">
        <is>
          <t>Document</t>
        </is>
      </c>
      <c r="D497" s="16" t="inlineStr"/>
      <c r="E497" s="16" t="inlineStr"/>
      <c r="F497" s="16" t="inlineStr"/>
      <c r="G497" s="16" t="inlineStr">
        <is>
          <t>Not Started</t>
        </is>
      </c>
      <c r="H497" s="16" t="inlineStr">
        <is>
          <t>Not Reviewed</t>
        </is>
      </c>
      <c r="I497" s="16" t="inlineStr"/>
      <c r="J497" s="20" t="inlineStr"/>
      <c r="K497" s="20" t="inlineStr"/>
      <c r="L497" s="16" t="inlineStr"/>
      <c r="M497" s="16" t="inlineStr"/>
      <c r="N497" s="16" t="inlineStr">
        <is>
          <t>CUI</t>
        </is>
      </c>
      <c r="O497" s="16" t="inlineStr"/>
      <c r="P497" s="16" t="inlineStr"/>
    </row>
    <row r="498">
      <c r="A498" s="16" t="inlineStr"/>
      <c r="B498" s="16" t="inlineStr"/>
      <c r="C498" s="16" t="inlineStr">
        <is>
          <t>Document</t>
        </is>
      </c>
      <c r="D498" s="16" t="inlineStr"/>
      <c r="E498" s="16" t="inlineStr"/>
      <c r="F498" s="16" t="inlineStr"/>
      <c r="G498" s="16" t="inlineStr">
        <is>
          <t>Not Started</t>
        </is>
      </c>
      <c r="H498" s="16" t="inlineStr">
        <is>
          <t>Not Reviewed</t>
        </is>
      </c>
      <c r="I498" s="16" t="inlineStr"/>
      <c r="J498" s="20" t="inlineStr"/>
      <c r="K498" s="20" t="inlineStr"/>
      <c r="L498" s="16" t="inlineStr"/>
      <c r="M498" s="16" t="inlineStr"/>
      <c r="N498" s="16" t="inlineStr">
        <is>
          <t>CUI</t>
        </is>
      </c>
      <c r="O498" s="16" t="inlineStr"/>
      <c r="P498" s="16" t="inlineStr"/>
    </row>
    <row r="499">
      <c r="A499" s="16" t="inlineStr"/>
      <c r="B499" s="16" t="inlineStr"/>
      <c r="C499" s="16" t="inlineStr">
        <is>
          <t>Document</t>
        </is>
      </c>
      <c r="D499" s="16" t="inlineStr"/>
      <c r="E499" s="16" t="inlineStr"/>
      <c r="F499" s="16" t="inlineStr"/>
      <c r="G499" s="16" t="inlineStr">
        <is>
          <t>Not Started</t>
        </is>
      </c>
      <c r="H499" s="16" t="inlineStr">
        <is>
          <t>Not Reviewed</t>
        </is>
      </c>
      <c r="I499" s="16" t="inlineStr"/>
      <c r="J499" s="20" t="inlineStr"/>
      <c r="K499" s="20" t="inlineStr"/>
      <c r="L499" s="16" t="inlineStr"/>
      <c r="M499" s="16" t="inlineStr"/>
      <c r="N499" s="16" t="inlineStr">
        <is>
          <t>CUI</t>
        </is>
      </c>
      <c r="O499" s="16" t="inlineStr"/>
      <c r="P499" s="16" t="inlineStr"/>
    </row>
    <row r="500">
      <c r="A500" s="16" t="inlineStr"/>
      <c r="B500" s="16" t="inlineStr"/>
      <c r="C500" s="16" t="inlineStr">
        <is>
          <t>Document</t>
        </is>
      </c>
      <c r="D500" s="16" t="inlineStr"/>
      <c r="E500" s="16" t="inlineStr"/>
      <c r="F500" s="16" t="inlineStr"/>
      <c r="G500" s="16" t="inlineStr">
        <is>
          <t>Not Started</t>
        </is>
      </c>
      <c r="H500" s="16" t="inlineStr">
        <is>
          <t>Not Reviewed</t>
        </is>
      </c>
      <c r="I500" s="16" t="inlineStr"/>
      <c r="J500" s="20" t="inlineStr"/>
      <c r="K500" s="20" t="inlineStr"/>
      <c r="L500" s="16" t="inlineStr"/>
      <c r="M500" s="16" t="inlineStr"/>
      <c r="N500" s="16" t="inlineStr">
        <is>
          <t>CUI</t>
        </is>
      </c>
      <c r="O500" s="16" t="inlineStr"/>
      <c r="P500" s="16" t="inlineStr"/>
    </row>
    <row r="501">
      <c r="A501" s="16" t="inlineStr"/>
      <c r="B501" s="16" t="inlineStr"/>
      <c r="C501" s="16" t="inlineStr">
        <is>
          <t>Document</t>
        </is>
      </c>
      <c r="D501" s="16" t="inlineStr"/>
      <c r="E501" s="16" t="inlineStr"/>
      <c r="F501" s="16" t="inlineStr"/>
      <c r="G501" s="16" t="inlineStr">
        <is>
          <t>Not Started</t>
        </is>
      </c>
      <c r="H501" s="16" t="inlineStr">
        <is>
          <t>Not Reviewed</t>
        </is>
      </c>
      <c r="I501" s="16" t="inlineStr"/>
      <c r="J501" s="20" t="inlineStr"/>
      <c r="K501" s="20" t="inlineStr"/>
      <c r="L501" s="16" t="inlineStr"/>
      <c r="M501" s="16" t="inlineStr"/>
      <c r="N501" s="16" t="inlineStr">
        <is>
          <t>CUI</t>
        </is>
      </c>
      <c r="O501" s="16" t="inlineStr"/>
      <c r="P501" s="16" t="inlineStr"/>
    </row>
    <row r="502">
      <c r="A502" s="16" t="inlineStr"/>
      <c r="B502" s="16" t="inlineStr"/>
      <c r="C502" s="16" t="inlineStr">
        <is>
          <t>Document</t>
        </is>
      </c>
      <c r="D502" s="16" t="inlineStr"/>
      <c r="E502" s="16" t="inlineStr"/>
      <c r="F502" s="16" t="inlineStr"/>
      <c r="G502" s="16" t="inlineStr">
        <is>
          <t>Not Started</t>
        </is>
      </c>
      <c r="H502" s="16" t="inlineStr">
        <is>
          <t>Not Reviewed</t>
        </is>
      </c>
      <c r="I502" s="16" t="inlineStr"/>
      <c r="J502" s="20" t="inlineStr"/>
      <c r="K502" s="20" t="inlineStr"/>
      <c r="L502" s="16" t="inlineStr"/>
      <c r="M502" s="16" t="inlineStr"/>
      <c r="N502" s="16" t="inlineStr">
        <is>
          <t>CUI</t>
        </is>
      </c>
      <c r="O502" s="16" t="inlineStr"/>
      <c r="P502" s="16" t="inlineStr"/>
    </row>
    <row r="503">
      <c r="A503" s="16" t="inlineStr"/>
      <c r="B503" s="16" t="inlineStr"/>
      <c r="C503" s="16" t="inlineStr">
        <is>
          <t>Document</t>
        </is>
      </c>
      <c r="D503" s="16" t="inlineStr"/>
      <c r="E503" s="16" t="inlineStr"/>
      <c r="F503" s="16" t="inlineStr"/>
      <c r="G503" s="16" t="inlineStr">
        <is>
          <t>Not Started</t>
        </is>
      </c>
      <c r="H503" s="16" t="inlineStr">
        <is>
          <t>Not Reviewed</t>
        </is>
      </c>
      <c r="I503" s="16" t="inlineStr"/>
      <c r="J503" s="20" t="inlineStr"/>
      <c r="K503" s="20" t="inlineStr"/>
      <c r="L503" s="16" t="inlineStr"/>
      <c r="M503" s="16" t="inlineStr"/>
      <c r="N503" s="16" t="inlineStr">
        <is>
          <t>CUI</t>
        </is>
      </c>
      <c r="O503" s="16" t="inlineStr"/>
      <c r="P503" s="16" t="inlineStr"/>
    </row>
    <row r="504">
      <c r="A504" s="16" t="inlineStr"/>
      <c r="B504" s="16" t="inlineStr"/>
      <c r="C504" s="16" t="inlineStr">
        <is>
          <t>Document</t>
        </is>
      </c>
      <c r="D504" s="16" t="inlineStr"/>
      <c r="E504" s="16" t="inlineStr"/>
      <c r="F504" s="16" t="inlineStr"/>
      <c r="G504" s="16" t="inlineStr">
        <is>
          <t>Not Started</t>
        </is>
      </c>
      <c r="H504" s="16" t="inlineStr">
        <is>
          <t>Not Reviewed</t>
        </is>
      </c>
      <c r="I504" s="16" t="inlineStr"/>
      <c r="J504" s="20" t="inlineStr"/>
      <c r="K504" s="20" t="inlineStr"/>
      <c r="L504" s="16" t="inlineStr"/>
      <c r="M504" s="16" t="inlineStr"/>
      <c r="N504" s="16" t="inlineStr">
        <is>
          <t>CUI</t>
        </is>
      </c>
      <c r="O504" s="16" t="inlineStr"/>
      <c r="P504" s="16" t="inlineStr"/>
    </row>
    <row r="505">
      <c r="A505" s="16" t="inlineStr"/>
      <c r="B505" s="16" t="inlineStr"/>
      <c r="C505" s="16" t="inlineStr">
        <is>
          <t>Document</t>
        </is>
      </c>
      <c r="D505" s="16" t="inlineStr"/>
      <c r="E505" s="16" t="inlineStr"/>
      <c r="F505" s="16" t="inlineStr"/>
      <c r="G505" s="16" t="inlineStr">
        <is>
          <t>Not Started</t>
        </is>
      </c>
      <c r="H505" s="16" t="inlineStr">
        <is>
          <t>Not Reviewed</t>
        </is>
      </c>
      <c r="I505" s="16" t="inlineStr"/>
      <c r="J505" s="20" t="inlineStr"/>
      <c r="K505" s="20" t="inlineStr"/>
      <c r="L505" s="16" t="inlineStr"/>
      <c r="M505" s="16" t="inlineStr"/>
      <c r="N505" s="16" t="inlineStr">
        <is>
          <t>CUI</t>
        </is>
      </c>
      <c r="O505" s="16" t="inlineStr"/>
      <c r="P505" s="16" t="inlineStr"/>
    </row>
  </sheetData>
  <autoFilter ref="A5:P505"/>
  <mergeCells count="2">
    <mergeCell ref="A1:P2"/>
    <mergeCell ref="A3:P3"/>
  </mergeCells>
  <conditionalFormatting sqref="G6:G505">
    <cfRule type="expression" priority="1" dxfId="0">
      <formula>G6="Complete"</formula>
    </cfRule>
    <cfRule type="expression" priority="2" dxfId="2">
      <formula>G6="In Progress"</formula>
    </cfRule>
    <cfRule type="expression" priority="3" dxfId="1">
      <formula>G6="Expired"</formula>
    </cfRule>
  </conditionalFormatting>
  <conditionalFormatting sqref="H6:H505">
    <cfRule type="expression" priority="4" dxfId="0">
      <formula>H6="Approved"</formula>
    </cfRule>
    <cfRule type="expression" priority="5" dxfId="1">
      <formula>H6="Rejected"</formula>
    </cfRule>
  </conditionalFormatting>
  <conditionalFormatting sqref="K6:K505">
    <cfRule type="expression" priority="6" dxfId="1">
      <formula>AND(K6&lt;&gt;"",K6&lt;TODAY())</formula>
    </cfRule>
  </conditionalFormatting>
  <dataValidations count="5">
    <dataValidation sqref="C6:C505" showDropDown="0" showInputMessage="0" showErrorMessage="0" allowBlank="0" type="list">
      <formula1>"Policy,Procedure,Plan,Configuration,Screenshot,Record,Report,Interview,Test Result,Log,Diagram,Contract,Other"</formula1>
    </dataValidation>
    <dataValidation sqref="G6:G505" showDropDown="0" showInputMessage="0" showErrorMessage="0" allowBlank="0" type="list">
      <formula1>"Not Started,In Progress,Complete,Expired,Not Applicable"</formula1>
    </dataValidation>
    <dataValidation sqref="H6:H505" showDropDown="0" showInputMessage="0" showErrorMessage="0" allowBlank="0" type="list">
      <formula1>"Not Reviewed,In Review,Approved,Rejected,Needs Update"</formula1>
    </dataValidation>
    <dataValidation sqref="N6:N505" showDropDown="0" showInputMessage="0" showErrorMessage="0" allowBlank="0" type="list">
      <formula1>"Public,Internal,Confidential,CUI,Controlled,Restricted"</formula1>
    </dataValidation>
    <dataValidation sqref="J6:K505" showDropDown="0" showInputMessage="0" showErrorMessage="0" allowBlank="1" type="date" operator="between">
      <formula1>DATE(2000,1,1)</formula1>
      <formula2>DATE(2100,12,31)</formula2>
    </dataValidation>
  </dataValidations>
  <pageMargins left="0.25" right="0.25" top="0.5" bottom="0.5"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X305"/>
  <sheetViews>
    <sheetView showGridLines="0" zoomScale="75" workbookViewId="0">
      <pane ySplit="5" topLeftCell="A6" activePane="bottomLeft" state="frozen"/>
      <selection pane="bottomLeft" activeCell="A1" sqref="A1"/>
    </sheetView>
  </sheetViews>
  <sheetFormatPr baseColWidth="8" defaultRowHeight="15"/>
  <cols>
    <col width="16" customWidth="1" min="1" max="1"/>
    <col width="18" customWidth="1" min="2" max="2"/>
    <col width="36" customWidth="1" min="3" max="3"/>
    <col width="10" customWidth="1" min="4" max="4"/>
    <col width="48" customWidth="1" min="5" max="5"/>
    <col width="42" customWidth="1" min="6" max="6"/>
    <col width="48" customWidth="1" min="7" max="7"/>
    <col width="36" customWidth="1" min="8" max="8"/>
    <col width="22" customWidth="1" min="9" max="9"/>
    <col width="18" customWidth="1" min="10" max="10"/>
    <col width="14" customWidth="1" min="11" max="11"/>
    <col width="14" customWidth="1" min="12" max="12"/>
    <col width="18" customWidth="1" min="13" max="13"/>
    <col width="12" customWidth="1" min="14" max="14"/>
    <col width="15" customWidth="1" min="15" max="15"/>
    <col width="18" customWidth="1" min="16" max="16"/>
    <col width="18" customWidth="1" min="17" max="17"/>
    <col width="12" customWidth="1" min="18" max="18"/>
    <col width="16" customWidth="1" min="19" max="19"/>
    <col width="16" customWidth="1" min="20" max="20"/>
    <col width="18" customWidth="1" min="21" max="21"/>
    <col width="28" customWidth="1" min="22" max="22"/>
    <col width="24" customWidth="1" min="23" max="23"/>
    <col width="45" customWidth="1" min="24" max="24"/>
  </cols>
  <sheetData>
    <row r="1" ht="26" customHeight="1">
      <c r="A1" s="1" t="inlineStr">
        <is>
          <t>Plan of Action &amp; Milestones</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row>
    <row r="2" ht="14" customHeight="1">
      <c r="A2" s="2" t="n"/>
      <c r="B2" s="2" t="n"/>
      <c r="C2" s="2" t="n"/>
      <c r="D2" s="2" t="n"/>
      <c r="E2" s="2" t="n"/>
      <c r="F2" s="2" t="n"/>
      <c r="G2" s="2" t="n"/>
      <c r="H2" s="2" t="n"/>
      <c r="I2" s="2" t="n"/>
      <c r="J2" s="2" t="n"/>
      <c r="K2" s="2" t="n"/>
      <c r="L2" s="2" t="n"/>
      <c r="M2" s="2" t="n"/>
      <c r="N2" s="2" t="n"/>
      <c r="O2" s="2" t="n"/>
      <c r="P2" s="2" t="n"/>
      <c r="Q2" s="2" t="n"/>
      <c r="R2" s="2" t="n"/>
      <c r="S2" s="2" t="n"/>
      <c r="T2" s="2" t="n"/>
      <c r="U2" s="2" t="n"/>
      <c r="V2" s="2" t="n"/>
      <c r="W2" s="2" t="n"/>
      <c r="X2" s="2" t="n"/>
    </row>
    <row r="3" ht="22" customHeight="1">
      <c r="A3" s="3" t="inlineStr">
        <is>
          <t>Track remediation actions, ownership, milestones, risk, aging, validation, and closure for CMMC findings.</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row>
    <row r="5" ht="32" customHeight="1">
      <c r="A5" s="8" t="inlineStr">
        <is>
          <t>POA&amp;M ID</t>
        </is>
      </c>
      <c r="B5" s="8" t="inlineStr">
        <is>
          <t>Requirement ID</t>
        </is>
      </c>
      <c r="C5" s="8" t="inlineStr">
        <is>
          <t>Requirement Title</t>
        </is>
      </c>
      <c r="D5" s="8" t="inlineStr">
        <is>
          <t>Domain</t>
        </is>
      </c>
      <c r="E5" s="8" t="inlineStr">
        <is>
          <t>Weakness Description</t>
        </is>
      </c>
      <c r="F5" s="8" t="inlineStr">
        <is>
          <t>Root Cause</t>
        </is>
      </c>
      <c r="G5" s="8" t="inlineStr">
        <is>
          <t>Corrective Action</t>
        </is>
      </c>
      <c r="H5" s="8" t="inlineStr">
        <is>
          <t>Current Milestone</t>
        </is>
      </c>
      <c r="I5" s="8" t="inlineStr">
        <is>
          <t>Milestone Owner</t>
        </is>
      </c>
      <c r="J5" s="8" t="inlineStr">
        <is>
          <t>Status</t>
        </is>
      </c>
      <c r="K5" s="8" t="inlineStr">
        <is>
          <t>Priority</t>
        </is>
      </c>
      <c r="L5" s="8" t="inlineStr">
        <is>
          <t>Severity</t>
        </is>
      </c>
      <c r="M5" s="8" t="inlineStr">
        <is>
          <t>Likelihood</t>
        </is>
      </c>
      <c r="N5" s="8" t="inlineStr">
        <is>
          <t>Risk Score</t>
        </is>
      </c>
      <c r="O5" s="8" t="inlineStr">
        <is>
          <t>Date Identified</t>
        </is>
      </c>
      <c r="P5" s="8" t="inlineStr">
        <is>
          <t>Planned Completion</t>
        </is>
      </c>
      <c r="Q5" s="8" t="inlineStr">
        <is>
          <t>Actual Completion</t>
        </is>
      </c>
      <c r="R5" s="8" t="inlineStr">
        <is>
          <t>Days Open</t>
        </is>
      </c>
      <c r="S5" s="8" t="inlineStr">
        <is>
          <t>Aging Bucket</t>
        </is>
      </c>
      <c r="T5" s="8" t="inlineStr">
        <is>
          <t>Residual Risk</t>
        </is>
      </c>
      <c r="U5" s="8" t="inlineStr">
        <is>
          <t>Validation Status</t>
        </is>
      </c>
      <c r="V5" s="8" t="inlineStr">
        <is>
          <t>Evidence IDs</t>
        </is>
      </c>
      <c r="W5" s="8" t="inlineStr">
        <is>
          <t>SSP Reference</t>
        </is>
      </c>
      <c r="X5" s="8" t="inlineStr">
        <is>
          <t>Assessor Notes</t>
        </is>
      </c>
    </row>
    <row r="6">
      <c r="A6" s="16" t="inlineStr"/>
      <c r="B6" s="16" t="inlineStr"/>
      <c r="C6" s="17" t="inlineStr"/>
      <c r="D6" s="17" t="inlineStr"/>
      <c r="E6" s="16" t="inlineStr"/>
      <c r="F6" s="16" t="inlineStr"/>
      <c r="G6" s="16" t="inlineStr"/>
      <c r="H6" s="16" t="inlineStr"/>
      <c r="I6" s="16" t="inlineStr"/>
      <c r="J6" s="16" t="inlineStr">
        <is>
          <t>Open</t>
        </is>
      </c>
      <c r="K6" s="16" t="inlineStr">
        <is>
          <t>Medium</t>
        </is>
      </c>
      <c r="L6" s="16" t="inlineStr">
        <is>
          <t>Medium</t>
        </is>
      </c>
      <c r="M6" s="16" t="inlineStr">
        <is>
          <t>Possible</t>
        </is>
      </c>
      <c r="N6" s="21">
        <f>IF(OR(L6="",M6=""),"",IF(L6="Critical",4,IF(L6="High",3,IF(L6="Medium",2,1)))*IF(M6="Almost Certain",5,IF(M6="Likely",4,IF(M6="Possible",3,IF(M6="Unlikely",2,1)))))</f>
        <v/>
      </c>
      <c r="O6" s="20" t="inlineStr"/>
      <c r="P6" s="20" t="inlineStr"/>
      <c r="Q6" s="20" t="inlineStr"/>
      <c r="R6" s="21">
        <f>IF(O6="","",IF(Q6&lt;&gt;"",Q6-O6,TODAY()-O6))</f>
        <v/>
      </c>
      <c r="S6" s="17">
        <f>IF(R6="","",IF(R6&lt;=30,"0-30 Days",IF(R6&lt;=60,"31-60 Days",IF(R6&lt;=90,"61-90 Days",IF(R6&lt;=180,"91-180 Days","181+ Days")))))</f>
        <v/>
      </c>
      <c r="T6" s="16" t="inlineStr">
        <is>
          <t>Medium</t>
        </is>
      </c>
      <c r="U6" s="16" t="inlineStr">
        <is>
          <t>Pending</t>
        </is>
      </c>
      <c r="V6" s="16" t="inlineStr"/>
      <c r="W6" s="16" t="inlineStr"/>
      <c r="X6" s="16" t="inlineStr"/>
    </row>
    <row r="7">
      <c r="A7" s="16" t="inlineStr"/>
      <c r="B7" s="16" t="inlineStr"/>
      <c r="C7" s="17" t="inlineStr"/>
      <c r="D7" s="17" t="inlineStr"/>
      <c r="E7" s="16" t="inlineStr"/>
      <c r="F7" s="16" t="inlineStr"/>
      <c r="G7" s="16" t="inlineStr"/>
      <c r="H7" s="16" t="inlineStr"/>
      <c r="I7" s="16" t="inlineStr"/>
      <c r="J7" s="16" t="inlineStr">
        <is>
          <t>Open</t>
        </is>
      </c>
      <c r="K7" s="16" t="inlineStr">
        <is>
          <t>Medium</t>
        </is>
      </c>
      <c r="L7" s="16" t="inlineStr">
        <is>
          <t>Medium</t>
        </is>
      </c>
      <c r="M7" s="16" t="inlineStr">
        <is>
          <t>Possible</t>
        </is>
      </c>
      <c r="N7" s="21">
        <f>IF(OR(L7="",M7=""),"",IF(L7="Critical",4,IF(L7="High",3,IF(L7="Medium",2,1)))*IF(M7="Almost Certain",5,IF(M7="Likely",4,IF(M7="Possible",3,IF(M7="Unlikely",2,1)))))</f>
        <v/>
      </c>
      <c r="O7" s="20" t="inlineStr"/>
      <c r="P7" s="20" t="inlineStr"/>
      <c r="Q7" s="20" t="inlineStr"/>
      <c r="R7" s="21">
        <f>IF(O7="","",IF(Q7&lt;&gt;"",Q7-O7,TODAY()-O7))</f>
        <v/>
      </c>
      <c r="S7" s="17">
        <f>IF(R7="","",IF(R7&lt;=30,"0-30 Days",IF(R7&lt;=60,"31-60 Days",IF(R7&lt;=90,"61-90 Days",IF(R7&lt;=180,"91-180 Days","181+ Days")))))</f>
        <v/>
      </c>
      <c r="T7" s="16" t="inlineStr">
        <is>
          <t>Medium</t>
        </is>
      </c>
      <c r="U7" s="16" t="inlineStr">
        <is>
          <t>Pending</t>
        </is>
      </c>
      <c r="V7" s="16" t="inlineStr"/>
      <c r="W7" s="16" t="inlineStr"/>
      <c r="X7" s="16" t="inlineStr"/>
    </row>
    <row r="8">
      <c r="A8" s="16" t="inlineStr"/>
      <c r="B8" s="16" t="inlineStr"/>
      <c r="C8" s="17" t="inlineStr"/>
      <c r="D8" s="17" t="inlineStr"/>
      <c r="E8" s="16" t="inlineStr"/>
      <c r="F8" s="16" t="inlineStr"/>
      <c r="G8" s="16" t="inlineStr"/>
      <c r="H8" s="16" t="inlineStr"/>
      <c r="I8" s="16" t="inlineStr"/>
      <c r="J8" s="16" t="inlineStr">
        <is>
          <t>Open</t>
        </is>
      </c>
      <c r="K8" s="16" t="inlineStr">
        <is>
          <t>Medium</t>
        </is>
      </c>
      <c r="L8" s="16" t="inlineStr">
        <is>
          <t>Medium</t>
        </is>
      </c>
      <c r="M8" s="16" t="inlineStr">
        <is>
          <t>Possible</t>
        </is>
      </c>
      <c r="N8" s="21">
        <f>IF(OR(L8="",M8=""),"",IF(L8="Critical",4,IF(L8="High",3,IF(L8="Medium",2,1)))*IF(M8="Almost Certain",5,IF(M8="Likely",4,IF(M8="Possible",3,IF(M8="Unlikely",2,1)))))</f>
        <v/>
      </c>
      <c r="O8" s="20" t="inlineStr"/>
      <c r="P8" s="20" t="inlineStr"/>
      <c r="Q8" s="20" t="inlineStr"/>
      <c r="R8" s="21">
        <f>IF(O8="","",IF(Q8&lt;&gt;"",Q8-O8,TODAY()-O8))</f>
        <v/>
      </c>
      <c r="S8" s="17">
        <f>IF(R8="","",IF(R8&lt;=30,"0-30 Days",IF(R8&lt;=60,"31-60 Days",IF(R8&lt;=90,"61-90 Days",IF(R8&lt;=180,"91-180 Days","181+ Days")))))</f>
        <v/>
      </c>
      <c r="T8" s="16" t="inlineStr">
        <is>
          <t>Medium</t>
        </is>
      </c>
      <c r="U8" s="16" t="inlineStr">
        <is>
          <t>Pending</t>
        </is>
      </c>
      <c r="V8" s="16" t="inlineStr"/>
      <c r="W8" s="16" t="inlineStr"/>
      <c r="X8" s="16" t="inlineStr"/>
    </row>
    <row r="9">
      <c r="A9" s="16" t="inlineStr"/>
      <c r="B9" s="16" t="inlineStr"/>
      <c r="C9" s="17" t="inlineStr"/>
      <c r="D9" s="17" t="inlineStr"/>
      <c r="E9" s="16" t="inlineStr"/>
      <c r="F9" s="16" t="inlineStr"/>
      <c r="G9" s="16" t="inlineStr"/>
      <c r="H9" s="16" t="inlineStr"/>
      <c r="I9" s="16" t="inlineStr"/>
      <c r="J9" s="16" t="inlineStr">
        <is>
          <t>Open</t>
        </is>
      </c>
      <c r="K9" s="16" t="inlineStr">
        <is>
          <t>Medium</t>
        </is>
      </c>
      <c r="L9" s="16" t="inlineStr">
        <is>
          <t>Medium</t>
        </is>
      </c>
      <c r="M9" s="16" t="inlineStr">
        <is>
          <t>Possible</t>
        </is>
      </c>
      <c r="N9" s="21">
        <f>IF(OR(L9="",M9=""),"",IF(L9="Critical",4,IF(L9="High",3,IF(L9="Medium",2,1)))*IF(M9="Almost Certain",5,IF(M9="Likely",4,IF(M9="Possible",3,IF(M9="Unlikely",2,1)))))</f>
        <v/>
      </c>
      <c r="O9" s="20" t="inlineStr"/>
      <c r="P9" s="20" t="inlineStr"/>
      <c r="Q9" s="20" t="inlineStr"/>
      <c r="R9" s="21">
        <f>IF(O9="","",IF(Q9&lt;&gt;"",Q9-O9,TODAY()-O9))</f>
        <v/>
      </c>
      <c r="S9" s="17">
        <f>IF(R9="","",IF(R9&lt;=30,"0-30 Days",IF(R9&lt;=60,"31-60 Days",IF(R9&lt;=90,"61-90 Days",IF(R9&lt;=180,"91-180 Days","181+ Days")))))</f>
        <v/>
      </c>
      <c r="T9" s="16" t="inlineStr">
        <is>
          <t>Medium</t>
        </is>
      </c>
      <c r="U9" s="16" t="inlineStr">
        <is>
          <t>Pending</t>
        </is>
      </c>
      <c r="V9" s="16" t="inlineStr"/>
      <c r="W9" s="16" t="inlineStr"/>
      <c r="X9" s="16" t="inlineStr"/>
    </row>
    <row r="10">
      <c r="A10" s="16" t="inlineStr"/>
      <c r="B10" s="16" t="inlineStr"/>
      <c r="C10" s="17" t="inlineStr"/>
      <c r="D10" s="17" t="inlineStr"/>
      <c r="E10" s="16" t="inlineStr"/>
      <c r="F10" s="16" t="inlineStr"/>
      <c r="G10" s="16" t="inlineStr"/>
      <c r="H10" s="16" t="inlineStr"/>
      <c r="I10" s="16" t="inlineStr"/>
      <c r="J10" s="16" t="inlineStr">
        <is>
          <t>Open</t>
        </is>
      </c>
      <c r="K10" s="16" t="inlineStr">
        <is>
          <t>Medium</t>
        </is>
      </c>
      <c r="L10" s="16" t="inlineStr">
        <is>
          <t>Medium</t>
        </is>
      </c>
      <c r="M10" s="16" t="inlineStr">
        <is>
          <t>Possible</t>
        </is>
      </c>
      <c r="N10" s="21">
        <f>IF(OR(L10="",M10=""),"",IF(L10="Critical",4,IF(L10="High",3,IF(L10="Medium",2,1)))*IF(M10="Almost Certain",5,IF(M10="Likely",4,IF(M10="Possible",3,IF(M10="Unlikely",2,1)))))</f>
        <v/>
      </c>
      <c r="O10" s="20" t="inlineStr"/>
      <c r="P10" s="20" t="inlineStr"/>
      <c r="Q10" s="20" t="inlineStr"/>
      <c r="R10" s="21">
        <f>IF(O10="","",IF(Q10&lt;&gt;"",Q10-O10,TODAY()-O10))</f>
        <v/>
      </c>
      <c r="S10" s="17">
        <f>IF(R10="","",IF(R10&lt;=30,"0-30 Days",IF(R10&lt;=60,"31-60 Days",IF(R10&lt;=90,"61-90 Days",IF(R10&lt;=180,"91-180 Days","181+ Days")))))</f>
        <v/>
      </c>
      <c r="T10" s="16" t="inlineStr">
        <is>
          <t>Medium</t>
        </is>
      </c>
      <c r="U10" s="16" t="inlineStr">
        <is>
          <t>Pending</t>
        </is>
      </c>
      <c r="V10" s="16" t="inlineStr"/>
      <c r="W10" s="16" t="inlineStr"/>
      <c r="X10" s="16" t="inlineStr"/>
    </row>
    <row r="11">
      <c r="A11" s="16" t="inlineStr"/>
      <c r="B11" s="16" t="inlineStr"/>
      <c r="C11" s="17" t="inlineStr"/>
      <c r="D11" s="17" t="inlineStr"/>
      <c r="E11" s="16" t="inlineStr"/>
      <c r="F11" s="16" t="inlineStr"/>
      <c r="G11" s="16" t="inlineStr"/>
      <c r="H11" s="16" t="inlineStr"/>
      <c r="I11" s="16" t="inlineStr"/>
      <c r="J11" s="16" t="inlineStr">
        <is>
          <t>Open</t>
        </is>
      </c>
      <c r="K11" s="16" t="inlineStr">
        <is>
          <t>Medium</t>
        </is>
      </c>
      <c r="L11" s="16" t="inlineStr">
        <is>
          <t>Medium</t>
        </is>
      </c>
      <c r="M11" s="16" t="inlineStr">
        <is>
          <t>Possible</t>
        </is>
      </c>
      <c r="N11" s="21">
        <f>IF(OR(L11="",M11=""),"",IF(L11="Critical",4,IF(L11="High",3,IF(L11="Medium",2,1)))*IF(M11="Almost Certain",5,IF(M11="Likely",4,IF(M11="Possible",3,IF(M11="Unlikely",2,1)))))</f>
        <v/>
      </c>
      <c r="O11" s="20" t="inlineStr"/>
      <c r="P11" s="20" t="inlineStr"/>
      <c r="Q11" s="20" t="inlineStr"/>
      <c r="R11" s="21">
        <f>IF(O11="","",IF(Q11&lt;&gt;"",Q11-O11,TODAY()-O11))</f>
        <v/>
      </c>
      <c r="S11" s="17">
        <f>IF(R11="","",IF(R11&lt;=30,"0-30 Days",IF(R11&lt;=60,"31-60 Days",IF(R11&lt;=90,"61-90 Days",IF(R11&lt;=180,"91-180 Days","181+ Days")))))</f>
        <v/>
      </c>
      <c r="T11" s="16" t="inlineStr">
        <is>
          <t>Medium</t>
        </is>
      </c>
      <c r="U11" s="16" t="inlineStr">
        <is>
          <t>Pending</t>
        </is>
      </c>
      <c r="V11" s="16" t="inlineStr"/>
      <c r="W11" s="16" t="inlineStr"/>
      <c r="X11" s="16" t="inlineStr"/>
    </row>
    <row r="12">
      <c r="A12" s="16" t="inlineStr"/>
      <c r="B12" s="16" t="inlineStr"/>
      <c r="C12" s="17" t="inlineStr"/>
      <c r="D12" s="17" t="inlineStr"/>
      <c r="E12" s="16" t="inlineStr"/>
      <c r="F12" s="16" t="inlineStr"/>
      <c r="G12" s="16" t="inlineStr"/>
      <c r="H12" s="16" t="inlineStr"/>
      <c r="I12" s="16" t="inlineStr"/>
      <c r="J12" s="16" t="inlineStr">
        <is>
          <t>Open</t>
        </is>
      </c>
      <c r="K12" s="16" t="inlineStr">
        <is>
          <t>Medium</t>
        </is>
      </c>
      <c r="L12" s="16" t="inlineStr">
        <is>
          <t>Medium</t>
        </is>
      </c>
      <c r="M12" s="16" t="inlineStr">
        <is>
          <t>Possible</t>
        </is>
      </c>
      <c r="N12" s="21">
        <f>IF(OR(L12="",M12=""),"",IF(L12="Critical",4,IF(L12="High",3,IF(L12="Medium",2,1)))*IF(M12="Almost Certain",5,IF(M12="Likely",4,IF(M12="Possible",3,IF(M12="Unlikely",2,1)))))</f>
        <v/>
      </c>
      <c r="O12" s="20" t="inlineStr"/>
      <c r="P12" s="20" t="inlineStr"/>
      <c r="Q12" s="20" t="inlineStr"/>
      <c r="R12" s="21">
        <f>IF(O12="","",IF(Q12&lt;&gt;"",Q12-O12,TODAY()-O12))</f>
        <v/>
      </c>
      <c r="S12" s="17">
        <f>IF(R12="","",IF(R12&lt;=30,"0-30 Days",IF(R12&lt;=60,"31-60 Days",IF(R12&lt;=90,"61-90 Days",IF(R12&lt;=180,"91-180 Days","181+ Days")))))</f>
        <v/>
      </c>
      <c r="T12" s="16" t="inlineStr">
        <is>
          <t>Medium</t>
        </is>
      </c>
      <c r="U12" s="16" t="inlineStr">
        <is>
          <t>Pending</t>
        </is>
      </c>
      <c r="V12" s="16" t="inlineStr"/>
      <c r="W12" s="16" t="inlineStr"/>
      <c r="X12" s="16" t="inlineStr"/>
    </row>
    <row r="13">
      <c r="A13" s="16" t="inlineStr"/>
      <c r="B13" s="16" t="inlineStr"/>
      <c r="C13" s="17" t="inlineStr"/>
      <c r="D13" s="17" t="inlineStr"/>
      <c r="E13" s="16" t="inlineStr"/>
      <c r="F13" s="16" t="inlineStr"/>
      <c r="G13" s="16" t="inlineStr"/>
      <c r="H13" s="16" t="inlineStr"/>
      <c r="I13" s="16" t="inlineStr"/>
      <c r="J13" s="16" t="inlineStr">
        <is>
          <t>Open</t>
        </is>
      </c>
      <c r="K13" s="16" t="inlineStr">
        <is>
          <t>Medium</t>
        </is>
      </c>
      <c r="L13" s="16" t="inlineStr">
        <is>
          <t>Medium</t>
        </is>
      </c>
      <c r="M13" s="16" t="inlineStr">
        <is>
          <t>Possible</t>
        </is>
      </c>
      <c r="N13" s="21">
        <f>IF(OR(L13="",M13=""),"",IF(L13="Critical",4,IF(L13="High",3,IF(L13="Medium",2,1)))*IF(M13="Almost Certain",5,IF(M13="Likely",4,IF(M13="Possible",3,IF(M13="Unlikely",2,1)))))</f>
        <v/>
      </c>
      <c r="O13" s="20" t="inlineStr"/>
      <c r="P13" s="20" t="inlineStr"/>
      <c r="Q13" s="20" t="inlineStr"/>
      <c r="R13" s="21">
        <f>IF(O13="","",IF(Q13&lt;&gt;"",Q13-O13,TODAY()-O13))</f>
        <v/>
      </c>
      <c r="S13" s="17">
        <f>IF(R13="","",IF(R13&lt;=30,"0-30 Days",IF(R13&lt;=60,"31-60 Days",IF(R13&lt;=90,"61-90 Days",IF(R13&lt;=180,"91-180 Days","181+ Days")))))</f>
        <v/>
      </c>
      <c r="T13" s="16" t="inlineStr">
        <is>
          <t>Medium</t>
        </is>
      </c>
      <c r="U13" s="16" t="inlineStr">
        <is>
          <t>Pending</t>
        </is>
      </c>
      <c r="V13" s="16" t="inlineStr"/>
      <c r="W13" s="16" t="inlineStr"/>
      <c r="X13" s="16" t="inlineStr"/>
    </row>
    <row r="14">
      <c r="A14" s="16" t="inlineStr"/>
      <c r="B14" s="16" t="inlineStr"/>
      <c r="C14" s="17" t="inlineStr"/>
      <c r="D14" s="17" t="inlineStr"/>
      <c r="E14" s="16" t="inlineStr"/>
      <c r="F14" s="16" t="inlineStr"/>
      <c r="G14" s="16" t="inlineStr"/>
      <c r="H14" s="16" t="inlineStr"/>
      <c r="I14" s="16" t="inlineStr"/>
      <c r="J14" s="16" t="inlineStr">
        <is>
          <t>Open</t>
        </is>
      </c>
      <c r="K14" s="16" t="inlineStr">
        <is>
          <t>Medium</t>
        </is>
      </c>
      <c r="L14" s="16" t="inlineStr">
        <is>
          <t>Medium</t>
        </is>
      </c>
      <c r="M14" s="16" t="inlineStr">
        <is>
          <t>Possible</t>
        </is>
      </c>
      <c r="N14" s="21">
        <f>IF(OR(L14="",M14=""),"",IF(L14="Critical",4,IF(L14="High",3,IF(L14="Medium",2,1)))*IF(M14="Almost Certain",5,IF(M14="Likely",4,IF(M14="Possible",3,IF(M14="Unlikely",2,1)))))</f>
        <v/>
      </c>
      <c r="O14" s="20" t="inlineStr"/>
      <c r="P14" s="20" t="inlineStr"/>
      <c r="Q14" s="20" t="inlineStr"/>
      <c r="R14" s="21">
        <f>IF(O14="","",IF(Q14&lt;&gt;"",Q14-O14,TODAY()-O14))</f>
        <v/>
      </c>
      <c r="S14" s="17">
        <f>IF(R14="","",IF(R14&lt;=30,"0-30 Days",IF(R14&lt;=60,"31-60 Days",IF(R14&lt;=90,"61-90 Days",IF(R14&lt;=180,"91-180 Days","181+ Days")))))</f>
        <v/>
      </c>
      <c r="T14" s="16" t="inlineStr">
        <is>
          <t>Medium</t>
        </is>
      </c>
      <c r="U14" s="16" t="inlineStr">
        <is>
          <t>Pending</t>
        </is>
      </c>
      <c r="V14" s="16" t="inlineStr"/>
      <c r="W14" s="16" t="inlineStr"/>
      <c r="X14" s="16" t="inlineStr"/>
    </row>
    <row r="15">
      <c r="A15" s="16" t="inlineStr"/>
      <c r="B15" s="16" t="inlineStr"/>
      <c r="C15" s="17" t="inlineStr"/>
      <c r="D15" s="17" t="inlineStr"/>
      <c r="E15" s="16" t="inlineStr"/>
      <c r="F15" s="16" t="inlineStr"/>
      <c r="G15" s="16" t="inlineStr"/>
      <c r="H15" s="16" t="inlineStr"/>
      <c r="I15" s="16" t="inlineStr"/>
      <c r="J15" s="16" t="inlineStr">
        <is>
          <t>Open</t>
        </is>
      </c>
      <c r="K15" s="16" t="inlineStr">
        <is>
          <t>Medium</t>
        </is>
      </c>
      <c r="L15" s="16" t="inlineStr">
        <is>
          <t>Medium</t>
        </is>
      </c>
      <c r="M15" s="16" t="inlineStr">
        <is>
          <t>Possible</t>
        </is>
      </c>
      <c r="N15" s="21">
        <f>IF(OR(L15="",M15=""),"",IF(L15="Critical",4,IF(L15="High",3,IF(L15="Medium",2,1)))*IF(M15="Almost Certain",5,IF(M15="Likely",4,IF(M15="Possible",3,IF(M15="Unlikely",2,1)))))</f>
        <v/>
      </c>
      <c r="O15" s="20" t="inlineStr"/>
      <c r="P15" s="20" t="inlineStr"/>
      <c r="Q15" s="20" t="inlineStr"/>
      <c r="R15" s="21">
        <f>IF(O15="","",IF(Q15&lt;&gt;"",Q15-O15,TODAY()-O15))</f>
        <v/>
      </c>
      <c r="S15" s="17">
        <f>IF(R15="","",IF(R15&lt;=30,"0-30 Days",IF(R15&lt;=60,"31-60 Days",IF(R15&lt;=90,"61-90 Days",IF(R15&lt;=180,"91-180 Days","181+ Days")))))</f>
        <v/>
      </c>
      <c r="T15" s="16" t="inlineStr">
        <is>
          <t>Medium</t>
        </is>
      </c>
      <c r="U15" s="16" t="inlineStr">
        <is>
          <t>Pending</t>
        </is>
      </c>
      <c r="V15" s="16" t="inlineStr"/>
      <c r="W15" s="16" t="inlineStr"/>
      <c r="X15" s="16" t="inlineStr"/>
    </row>
    <row r="16">
      <c r="A16" s="16" t="inlineStr"/>
      <c r="B16" s="16" t="inlineStr"/>
      <c r="C16" s="17" t="inlineStr"/>
      <c r="D16" s="17" t="inlineStr"/>
      <c r="E16" s="16" t="inlineStr"/>
      <c r="F16" s="16" t="inlineStr"/>
      <c r="G16" s="16" t="inlineStr"/>
      <c r="H16" s="16" t="inlineStr"/>
      <c r="I16" s="16" t="inlineStr"/>
      <c r="J16" s="16" t="inlineStr">
        <is>
          <t>Open</t>
        </is>
      </c>
      <c r="K16" s="16" t="inlineStr">
        <is>
          <t>Medium</t>
        </is>
      </c>
      <c r="L16" s="16" t="inlineStr">
        <is>
          <t>Medium</t>
        </is>
      </c>
      <c r="M16" s="16" t="inlineStr">
        <is>
          <t>Possible</t>
        </is>
      </c>
      <c r="N16" s="21">
        <f>IF(OR(L16="",M16=""),"",IF(L16="Critical",4,IF(L16="High",3,IF(L16="Medium",2,1)))*IF(M16="Almost Certain",5,IF(M16="Likely",4,IF(M16="Possible",3,IF(M16="Unlikely",2,1)))))</f>
        <v/>
      </c>
      <c r="O16" s="20" t="inlineStr"/>
      <c r="P16" s="20" t="inlineStr"/>
      <c r="Q16" s="20" t="inlineStr"/>
      <c r="R16" s="21">
        <f>IF(O16="","",IF(Q16&lt;&gt;"",Q16-O16,TODAY()-O16))</f>
        <v/>
      </c>
      <c r="S16" s="17">
        <f>IF(R16="","",IF(R16&lt;=30,"0-30 Days",IF(R16&lt;=60,"31-60 Days",IF(R16&lt;=90,"61-90 Days",IF(R16&lt;=180,"91-180 Days","181+ Days")))))</f>
        <v/>
      </c>
      <c r="T16" s="16" t="inlineStr">
        <is>
          <t>Medium</t>
        </is>
      </c>
      <c r="U16" s="16" t="inlineStr">
        <is>
          <t>Pending</t>
        </is>
      </c>
      <c r="V16" s="16" t="inlineStr"/>
      <c r="W16" s="16" t="inlineStr"/>
      <c r="X16" s="16" t="inlineStr"/>
    </row>
    <row r="17">
      <c r="A17" s="16" t="inlineStr"/>
      <c r="B17" s="16" t="inlineStr"/>
      <c r="C17" s="17" t="inlineStr"/>
      <c r="D17" s="17" t="inlineStr"/>
      <c r="E17" s="16" t="inlineStr"/>
      <c r="F17" s="16" t="inlineStr"/>
      <c r="G17" s="16" t="inlineStr"/>
      <c r="H17" s="16" t="inlineStr"/>
      <c r="I17" s="16" t="inlineStr"/>
      <c r="J17" s="16" t="inlineStr">
        <is>
          <t>Open</t>
        </is>
      </c>
      <c r="K17" s="16" t="inlineStr">
        <is>
          <t>Medium</t>
        </is>
      </c>
      <c r="L17" s="16" t="inlineStr">
        <is>
          <t>Medium</t>
        </is>
      </c>
      <c r="M17" s="16" t="inlineStr">
        <is>
          <t>Possible</t>
        </is>
      </c>
      <c r="N17" s="21">
        <f>IF(OR(L17="",M17=""),"",IF(L17="Critical",4,IF(L17="High",3,IF(L17="Medium",2,1)))*IF(M17="Almost Certain",5,IF(M17="Likely",4,IF(M17="Possible",3,IF(M17="Unlikely",2,1)))))</f>
        <v/>
      </c>
      <c r="O17" s="20" t="inlineStr"/>
      <c r="P17" s="20" t="inlineStr"/>
      <c r="Q17" s="20" t="inlineStr"/>
      <c r="R17" s="21">
        <f>IF(O17="","",IF(Q17&lt;&gt;"",Q17-O17,TODAY()-O17))</f>
        <v/>
      </c>
      <c r="S17" s="17">
        <f>IF(R17="","",IF(R17&lt;=30,"0-30 Days",IF(R17&lt;=60,"31-60 Days",IF(R17&lt;=90,"61-90 Days",IF(R17&lt;=180,"91-180 Days","181+ Days")))))</f>
        <v/>
      </c>
      <c r="T17" s="16" t="inlineStr">
        <is>
          <t>Medium</t>
        </is>
      </c>
      <c r="U17" s="16" t="inlineStr">
        <is>
          <t>Pending</t>
        </is>
      </c>
      <c r="V17" s="16" t="inlineStr"/>
      <c r="W17" s="16" t="inlineStr"/>
      <c r="X17" s="16" t="inlineStr"/>
    </row>
    <row r="18">
      <c r="A18" s="16" t="inlineStr"/>
      <c r="B18" s="16" t="inlineStr"/>
      <c r="C18" s="17" t="inlineStr"/>
      <c r="D18" s="17" t="inlineStr"/>
      <c r="E18" s="16" t="inlineStr"/>
      <c r="F18" s="16" t="inlineStr"/>
      <c r="G18" s="16" t="inlineStr"/>
      <c r="H18" s="16" t="inlineStr"/>
      <c r="I18" s="16" t="inlineStr"/>
      <c r="J18" s="16" t="inlineStr">
        <is>
          <t>Open</t>
        </is>
      </c>
      <c r="K18" s="16" t="inlineStr">
        <is>
          <t>Medium</t>
        </is>
      </c>
      <c r="L18" s="16" t="inlineStr">
        <is>
          <t>Medium</t>
        </is>
      </c>
      <c r="M18" s="16" t="inlineStr">
        <is>
          <t>Possible</t>
        </is>
      </c>
      <c r="N18" s="21">
        <f>IF(OR(L18="",M18=""),"",IF(L18="Critical",4,IF(L18="High",3,IF(L18="Medium",2,1)))*IF(M18="Almost Certain",5,IF(M18="Likely",4,IF(M18="Possible",3,IF(M18="Unlikely",2,1)))))</f>
        <v/>
      </c>
      <c r="O18" s="20" t="inlineStr"/>
      <c r="P18" s="20" t="inlineStr"/>
      <c r="Q18" s="20" t="inlineStr"/>
      <c r="R18" s="21">
        <f>IF(O18="","",IF(Q18&lt;&gt;"",Q18-O18,TODAY()-O18))</f>
        <v/>
      </c>
      <c r="S18" s="17">
        <f>IF(R18="","",IF(R18&lt;=30,"0-30 Days",IF(R18&lt;=60,"31-60 Days",IF(R18&lt;=90,"61-90 Days",IF(R18&lt;=180,"91-180 Days","181+ Days")))))</f>
        <v/>
      </c>
      <c r="T18" s="16" t="inlineStr">
        <is>
          <t>Medium</t>
        </is>
      </c>
      <c r="U18" s="16" t="inlineStr">
        <is>
          <t>Pending</t>
        </is>
      </c>
      <c r="V18" s="16" t="inlineStr"/>
      <c r="W18" s="16" t="inlineStr"/>
      <c r="X18" s="16" t="inlineStr"/>
    </row>
    <row r="19">
      <c r="A19" s="16" t="inlineStr"/>
      <c r="B19" s="16" t="inlineStr"/>
      <c r="C19" s="17" t="inlineStr"/>
      <c r="D19" s="17" t="inlineStr"/>
      <c r="E19" s="16" t="inlineStr"/>
      <c r="F19" s="16" t="inlineStr"/>
      <c r="G19" s="16" t="inlineStr"/>
      <c r="H19" s="16" t="inlineStr"/>
      <c r="I19" s="16" t="inlineStr"/>
      <c r="J19" s="16" t="inlineStr">
        <is>
          <t>Open</t>
        </is>
      </c>
      <c r="K19" s="16" t="inlineStr">
        <is>
          <t>Medium</t>
        </is>
      </c>
      <c r="L19" s="16" t="inlineStr">
        <is>
          <t>Medium</t>
        </is>
      </c>
      <c r="M19" s="16" t="inlineStr">
        <is>
          <t>Possible</t>
        </is>
      </c>
      <c r="N19" s="21">
        <f>IF(OR(L19="",M19=""),"",IF(L19="Critical",4,IF(L19="High",3,IF(L19="Medium",2,1)))*IF(M19="Almost Certain",5,IF(M19="Likely",4,IF(M19="Possible",3,IF(M19="Unlikely",2,1)))))</f>
        <v/>
      </c>
      <c r="O19" s="20" t="inlineStr"/>
      <c r="P19" s="20" t="inlineStr"/>
      <c r="Q19" s="20" t="inlineStr"/>
      <c r="R19" s="21">
        <f>IF(O19="","",IF(Q19&lt;&gt;"",Q19-O19,TODAY()-O19))</f>
        <v/>
      </c>
      <c r="S19" s="17">
        <f>IF(R19="","",IF(R19&lt;=30,"0-30 Days",IF(R19&lt;=60,"31-60 Days",IF(R19&lt;=90,"61-90 Days",IF(R19&lt;=180,"91-180 Days","181+ Days")))))</f>
        <v/>
      </c>
      <c r="T19" s="16" t="inlineStr">
        <is>
          <t>Medium</t>
        </is>
      </c>
      <c r="U19" s="16" t="inlineStr">
        <is>
          <t>Pending</t>
        </is>
      </c>
      <c r="V19" s="16" t="inlineStr"/>
      <c r="W19" s="16" t="inlineStr"/>
      <c r="X19" s="16" t="inlineStr"/>
    </row>
    <row r="20">
      <c r="A20" s="16" t="inlineStr"/>
      <c r="B20" s="16" t="inlineStr"/>
      <c r="C20" s="17" t="inlineStr"/>
      <c r="D20" s="17" t="inlineStr"/>
      <c r="E20" s="16" t="inlineStr"/>
      <c r="F20" s="16" t="inlineStr"/>
      <c r="G20" s="16" t="inlineStr"/>
      <c r="H20" s="16" t="inlineStr"/>
      <c r="I20" s="16" t="inlineStr"/>
      <c r="J20" s="16" t="inlineStr">
        <is>
          <t>Open</t>
        </is>
      </c>
      <c r="K20" s="16" t="inlineStr">
        <is>
          <t>Medium</t>
        </is>
      </c>
      <c r="L20" s="16" t="inlineStr">
        <is>
          <t>Medium</t>
        </is>
      </c>
      <c r="M20" s="16" t="inlineStr">
        <is>
          <t>Possible</t>
        </is>
      </c>
      <c r="N20" s="21">
        <f>IF(OR(L20="",M20=""),"",IF(L20="Critical",4,IF(L20="High",3,IF(L20="Medium",2,1)))*IF(M20="Almost Certain",5,IF(M20="Likely",4,IF(M20="Possible",3,IF(M20="Unlikely",2,1)))))</f>
        <v/>
      </c>
      <c r="O20" s="20" t="inlineStr"/>
      <c r="P20" s="20" t="inlineStr"/>
      <c r="Q20" s="20" t="inlineStr"/>
      <c r="R20" s="21">
        <f>IF(O20="","",IF(Q20&lt;&gt;"",Q20-O20,TODAY()-O20))</f>
        <v/>
      </c>
      <c r="S20" s="17">
        <f>IF(R20="","",IF(R20&lt;=30,"0-30 Days",IF(R20&lt;=60,"31-60 Days",IF(R20&lt;=90,"61-90 Days",IF(R20&lt;=180,"91-180 Days","181+ Days")))))</f>
        <v/>
      </c>
      <c r="T20" s="16" t="inlineStr">
        <is>
          <t>Medium</t>
        </is>
      </c>
      <c r="U20" s="16" t="inlineStr">
        <is>
          <t>Pending</t>
        </is>
      </c>
      <c r="V20" s="16" t="inlineStr"/>
      <c r="W20" s="16" t="inlineStr"/>
      <c r="X20" s="16" t="inlineStr"/>
    </row>
    <row r="21">
      <c r="A21" s="16" t="inlineStr"/>
      <c r="B21" s="16" t="inlineStr"/>
      <c r="C21" s="17" t="inlineStr"/>
      <c r="D21" s="17" t="inlineStr"/>
      <c r="E21" s="16" t="inlineStr"/>
      <c r="F21" s="16" t="inlineStr"/>
      <c r="G21" s="16" t="inlineStr"/>
      <c r="H21" s="16" t="inlineStr"/>
      <c r="I21" s="16" t="inlineStr"/>
      <c r="J21" s="16" t="inlineStr">
        <is>
          <t>Open</t>
        </is>
      </c>
      <c r="K21" s="16" t="inlineStr">
        <is>
          <t>Medium</t>
        </is>
      </c>
      <c r="L21" s="16" t="inlineStr">
        <is>
          <t>Medium</t>
        </is>
      </c>
      <c r="M21" s="16" t="inlineStr">
        <is>
          <t>Possible</t>
        </is>
      </c>
      <c r="N21" s="21">
        <f>IF(OR(L21="",M21=""),"",IF(L21="Critical",4,IF(L21="High",3,IF(L21="Medium",2,1)))*IF(M21="Almost Certain",5,IF(M21="Likely",4,IF(M21="Possible",3,IF(M21="Unlikely",2,1)))))</f>
        <v/>
      </c>
      <c r="O21" s="20" t="inlineStr"/>
      <c r="P21" s="20" t="inlineStr"/>
      <c r="Q21" s="20" t="inlineStr"/>
      <c r="R21" s="21">
        <f>IF(O21="","",IF(Q21&lt;&gt;"",Q21-O21,TODAY()-O21))</f>
        <v/>
      </c>
      <c r="S21" s="17">
        <f>IF(R21="","",IF(R21&lt;=30,"0-30 Days",IF(R21&lt;=60,"31-60 Days",IF(R21&lt;=90,"61-90 Days",IF(R21&lt;=180,"91-180 Days","181+ Days")))))</f>
        <v/>
      </c>
      <c r="T21" s="16" t="inlineStr">
        <is>
          <t>Medium</t>
        </is>
      </c>
      <c r="U21" s="16" t="inlineStr">
        <is>
          <t>Pending</t>
        </is>
      </c>
      <c r="V21" s="16" t="inlineStr"/>
      <c r="W21" s="16" t="inlineStr"/>
      <c r="X21" s="16" t="inlineStr"/>
    </row>
    <row r="22">
      <c r="A22" s="16" t="inlineStr"/>
      <c r="B22" s="16" t="inlineStr"/>
      <c r="C22" s="17" t="inlineStr"/>
      <c r="D22" s="17" t="inlineStr"/>
      <c r="E22" s="16" t="inlineStr"/>
      <c r="F22" s="16" t="inlineStr"/>
      <c r="G22" s="16" t="inlineStr"/>
      <c r="H22" s="16" t="inlineStr"/>
      <c r="I22" s="16" t="inlineStr"/>
      <c r="J22" s="16" t="inlineStr">
        <is>
          <t>Open</t>
        </is>
      </c>
      <c r="K22" s="16" t="inlineStr">
        <is>
          <t>Medium</t>
        </is>
      </c>
      <c r="L22" s="16" t="inlineStr">
        <is>
          <t>Medium</t>
        </is>
      </c>
      <c r="M22" s="16" t="inlineStr">
        <is>
          <t>Possible</t>
        </is>
      </c>
      <c r="N22" s="21">
        <f>IF(OR(L22="",M22=""),"",IF(L22="Critical",4,IF(L22="High",3,IF(L22="Medium",2,1)))*IF(M22="Almost Certain",5,IF(M22="Likely",4,IF(M22="Possible",3,IF(M22="Unlikely",2,1)))))</f>
        <v/>
      </c>
      <c r="O22" s="20" t="inlineStr"/>
      <c r="P22" s="20" t="inlineStr"/>
      <c r="Q22" s="20" t="inlineStr"/>
      <c r="R22" s="21">
        <f>IF(O22="","",IF(Q22&lt;&gt;"",Q22-O22,TODAY()-O22))</f>
        <v/>
      </c>
      <c r="S22" s="17">
        <f>IF(R22="","",IF(R22&lt;=30,"0-30 Days",IF(R22&lt;=60,"31-60 Days",IF(R22&lt;=90,"61-90 Days",IF(R22&lt;=180,"91-180 Days","181+ Days")))))</f>
        <v/>
      </c>
      <c r="T22" s="16" t="inlineStr">
        <is>
          <t>Medium</t>
        </is>
      </c>
      <c r="U22" s="16" t="inlineStr">
        <is>
          <t>Pending</t>
        </is>
      </c>
      <c r="V22" s="16" t="inlineStr"/>
      <c r="W22" s="16" t="inlineStr"/>
      <c r="X22" s="16" t="inlineStr"/>
    </row>
    <row r="23">
      <c r="A23" s="16" t="inlineStr"/>
      <c r="B23" s="16" t="inlineStr"/>
      <c r="C23" s="17" t="inlineStr"/>
      <c r="D23" s="17" t="inlineStr"/>
      <c r="E23" s="16" t="inlineStr"/>
      <c r="F23" s="16" t="inlineStr"/>
      <c r="G23" s="16" t="inlineStr"/>
      <c r="H23" s="16" t="inlineStr"/>
      <c r="I23" s="16" t="inlineStr"/>
      <c r="J23" s="16" t="inlineStr">
        <is>
          <t>Open</t>
        </is>
      </c>
      <c r="K23" s="16" t="inlineStr">
        <is>
          <t>Medium</t>
        </is>
      </c>
      <c r="L23" s="16" t="inlineStr">
        <is>
          <t>Medium</t>
        </is>
      </c>
      <c r="M23" s="16" t="inlineStr">
        <is>
          <t>Possible</t>
        </is>
      </c>
      <c r="N23" s="21">
        <f>IF(OR(L23="",M23=""),"",IF(L23="Critical",4,IF(L23="High",3,IF(L23="Medium",2,1)))*IF(M23="Almost Certain",5,IF(M23="Likely",4,IF(M23="Possible",3,IF(M23="Unlikely",2,1)))))</f>
        <v/>
      </c>
      <c r="O23" s="20" t="inlineStr"/>
      <c r="P23" s="20" t="inlineStr"/>
      <c r="Q23" s="20" t="inlineStr"/>
      <c r="R23" s="21">
        <f>IF(O23="","",IF(Q23&lt;&gt;"",Q23-O23,TODAY()-O23))</f>
        <v/>
      </c>
      <c r="S23" s="17">
        <f>IF(R23="","",IF(R23&lt;=30,"0-30 Days",IF(R23&lt;=60,"31-60 Days",IF(R23&lt;=90,"61-90 Days",IF(R23&lt;=180,"91-180 Days","181+ Days")))))</f>
        <v/>
      </c>
      <c r="T23" s="16" t="inlineStr">
        <is>
          <t>Medium</t>
        </is>
      </c>
      <c r="U23" s="16" t="inlineStr">
        <is>
          <t>Pending</t>
        </is>
      </c>
      <c r="V23" s="16" t="inlineStr"/>
      <c r="W23" s="16" t="inlineStr"/>
      <c r="X23" s="16" t="inlineStr"/>
    </row>
    <row r="24">
      <c r="A24" s="16" t="inlineStr"/>
      <c r="B24" s="16" t="inlineStr"/>
      <c r="C24" s="17" t="inlineStr"/>
      <c r="D24" s="17" t="inlineStr"/>
      <c r="E24" s="16" t="inlineStr"/>
      <c r="F24" s="16" t="inlineStr"/>
      <c r="G24" s="16" t="inlineStr"/>
      <c r="H24" s="16" t="inlineStr"/>
      <c r="I24" s="16" t="inlineStr"/>
      <c r="J24" s="16" t="inlineStr">
        <is>
          <t>Open</t>
        </is>
      </c>
      <c r="K24" s="16" t="inlineStr">
        <is>
          <t>Medium</t>
        </is>
      </c>
      <c r="L24" s="16" t="inlineStr">
        <is>
          <t>Medium</t>
        </is>
      </c>
      <c r="M24" s="16" t="inlineStr">
        <is>
          <t>Possible</t>
        </is>
      </c>
      <c r="N24" s="21">
        <f>IF(OR(L24="",M24=""),"",IF(L24="Critical",4,IF(L24="High",3,IF(L24="Medium",2,1)))*IF(M24="Almost Certain",5,IF(M24="Likely",4,IF(M24="Possible",3,IF(M24="Unlikely",2,1)))))</f>
        <v/>
      </c>
      <c r="O24" s="20" t="inlineStr"/>
      <c r="P24" s="20" t="inlineStr"/>
      <c r="Q24" s="20" t="inlineStr"/>
      <c r="R24" s="21">
        <f>IF(O24="","",IF(Q24&lt;&gt;"",Q24-O24,TODAY()-O24))</f>
        <v/>
      </c>
      <c r="S24" s="17">
        <f>IF(R24="","",IF(R24&lt;=30,"0-30 Days",IF(R24&lt;=60,"31-60 Days",IF(R24&lt;=90,"61-90 Days",IF(R24&lt;=180,"91-180 Days","181+ Days")))))</f>
        <v/>
      </c>
      <c r="T24" s="16" t="inlineStr">
        <is>
          <t>Medium</t>
        </is>
      </c>
      <c r="U24" s="16" t="inlineStr">
        <is>
          <t>Pending</t>
        </is>
      </c>
      <c r="V24" s="16" t="inlineStr"/>
      <c r="W24" s="16" t="inlineStr"/>
      <c r="X24" s="16" t="inlineStr"/>
    </row>
    <row r="25">
      <c r="A25" s="16" t="inlineStr"/>
      <c r="B25" s="16" t="inlineStr"/>
      <c r="C25" s="17" t="inlineStr"/>
      <c r="D25" s="17" t="inlineStr"/>
      <c r="E25" s="16" t="inlineStr"/>
      <c r="F25" s="16" t="inlineStr"/>
      <c r="G25" s="16" t="inlineStr"/>
      <c r="H25" s="16" t="inlineStr"/>
      <c r="I25" s="16" t="inlineStr"/>
      <c r="J25" s="16" t="inlineStr">
        <is>
          <t>Open</t>
        </is>
      </c>
      <c r="K25" s="16" t="inlineStr">
        <is>
          <t>Medium</t>
        </is>
      </c>
      <c r="L25" s="16" t="inlineStr">
        <is>
          <t>Medium</t>
        </is>
      </c>
      <c r="M25" s="16" t="inlineStr">
        <is>
          <t>Possible</t>
        </is>
      </c>
      <c r="N25" s="21">
        <f>IF(OR(L25="",M25=""),"",IF(L25="Critical",4,IF(L25="High",3,IF(L25="Medium",2,1)))*IF(M25="Almost Certain",5,IF(M25="Likely",4,IF(M25="Possible",3,IF(M25="Unlikely",2,1)))))</f>
        <v/>
      </c>
      <c r="O25" s="20" t="inlineStr"/>
      <c r="P25" s="20" t="inlineStr"/>
      <c r="Q25" s="20" t="inlineStr"/>
      <c r="R25" s="21">
        <f>IF(O25="","",IF(Q25&lt;&gt;"",Q25-O25,TODAY()-O25))</f>
        <v/>
      </c>
      <c r="S25" s="17">
        <f>IF(R25="","",IF(R25&lt;=30,"0-30 Days",IF(R25&lt;=60,"31-60 Days",IF(R25&lt;=90,"61-90 Days",IF(R25&lt;=180,"91-180 Days","181+ Days")))))</f>
        <v/>
      </c>
      <c r="T25" s="16" t="inlineStr">
        <is>
          <t>Medium</t>
        </is>
      </c>
      <c r="U25" s="16" t="inlineStr">
        <is>
          <t>Pending</t>
        </is>
      </c>
      <c r="V25" s="16" t="inlineStr"/>
      <c r="W25" s="16" t="inlineStr"/>
      <c r="X25" s="16" t="inlineStr"/>
    </row>
    <row r="26">
      <c r="A26" s="16" t="inlineStr"/>
      <c r="B26" s="16" t="inlineStr"/>
      <c r="C26" s="17" t="inlineStr"/>
      <c r="D26" s="17" t="inlineStr"/>
      <c r="E26" s="16" t="inlineStr"/>
      <c r="F26" s="16" t="inlineStr"/>
      <c r="G26" s="16" t="inlineStr"/>
      <c r="H26" s="16" t="inlineStr"/>
      <c r="I26" s="16" t="inlineStr"/>
      <c r="J26" s="16" t="inlineStr">
        <is>
          <t>Open</t>
        </is>
      </c>
      <c r="K26" s="16" t="inlineStr">
        <is>
          <t>Medium</t>
        </is>
      </c>
      <c r="L26" s="16" t="inlineStr">
        <is>
          <t>Medium</t>
        </is>
      </c>
      <c r="M26" s="16" t="inlineStr">
        <is>
          <t>Possible</t>
        </is>
      </c>
      <c r="N26" s="21">
        <f>IF(OR(L26="",M26=""),"",IF(L26="Critical",4,IF(L26="High",3,IF(L26="Medium",2,1)))*IF(M26="Almost Certain",5,IF(M26="Likely",4,IF(M26="Possible",3,IF(M26="Unlikely",2,1)))))</f>
        <v/>
      </c>
      <c r="O26" s="20" t="inlineStr"/>
      <c r="P26" s="20" t="inlineStr"/>
      <c r="Q26" s="20" t="inlineStr"/>
      <c r="R26" s="21">
        <f>IF(O26="","",IF(Q26&lt;&gt;"",Q26-O26,TODAY()-O26))</f>
        <v/>
      </c>
      <c r="S26" s="17">
        <f>IF(R26="","",IF(R26&lt;=30,"0-30 Days",IF(R26&lt;=60,"31-60 Days",IF(R26&lt;=90,"61-90 Days",IF(R26&lt;=180,"91-180 Days","181+ Days")))))</f>
        <v/>
      </c>
      <c r="T26" s="16" t="inlineStr">
        <is>
          <t>Medium</t>
        </is>
      </c>
      <c r="U26" s="16" t="inlineStr">
        <is>
          <t>Pending</t>
        </is>
      </c>
      <c r="V26" s="16" t="inlineStr"/>
      <c r="W26" s="16" t="inlineStr"/>
      <c r="X26" s="16" t="inlineStr"/>
    </row>
    <row r="27">
      <c r="A27" s="16" t="inlineStr"/>
      <c r="B27" s="16" t="inlineStr"/>
      <c r="C27" s="17" t="inlineStr"/>
      <c r="D27" s="17" t="inlineStr"/>
      <c r="E27" s="16" t="inlineStr"/>
      <c r="F27" s="16" t="inlineStr"/>
      <c r="G27" s="16" t="inlineStr"/>
      <c r="H27" s="16" t="inlineStr"/>
      <c r="I27" s="16" t="inlineStr"/>
      <c r="J27" s="16" t="inlineStr">
        <is>
          <t>Open</t>
        </is>
      </c>
      <c r="K27" s="16" t="inlineStr">
        <is>
          <t>Medium</t>
        </is>
      </c>
      <c r="L27" s="16" t="inlineStr">
        <is>
          <t>Medium</t>
        </is>
      </c>
      <c r="M27" s="16" t="inlineStr">
        <is>
          <t>Possible</t>
        </is>
      </c>
      <c r="N27" s="21">
        <f>IF(OR(L27="",M27=""),"",IF(L27="Critical",4,IF(L27="High",3,IF(L27="Medium",2,1)))*IF(M27="Almost Certain",5,IF(M27="Likely",4,IF(M27="Possible",3,IF(M27="Unlikely",2,1)))))</f>
        <v/>
      </c>
      <c r="O27" s="20" t="inlineStr"/>
      <c r="P27" s="20" t="inlineStr"/>
      <c r="Q27" s="20" t="inlineStr"/>
      <c r="R27" s="21">
        <f>IF(O27="","",IF(Q27&lt;&gt;"",Q27-O27,TODAY()-O27))</f>
        <v/>
      </c>
      <c r="S27" s="17">
        <f>IF(R27="","",IF(R27&lt;=30,"0-30 Days",IF(R27&lt;=60,"31-60 Days",IF(R27&lt;=90,"61-90 Days",IF(R27&lt;=180,"91-180 Days","181+ Days")))))</f>
        <v/>
      </c>
      <c r="T27" s="16" t="inlineStr">
        <is>
          <t>Medium</t>
        </is>
      </c>
      <c r="U27" s="16" t="inlineStr">
        <is>
          <t>Pending</t>
        </is>
      </c>
      <c r="V27" s="16" t="inlineStr"/>
      <c r="W27" s="16" t="inlineStr"/>
      <c r="X27" s="16" t="inlineStr"/>
    </row>
    <row r="28">
      <c r="A28" s="16" t="inlineStr"/>
      <c r="B28" s="16" t="inlineStr"/>
      <c r="C28" s="17" t="inlineStr"/>
      <c r="D28" s="17" t="inlineStr"/>
      <c r="E28" s="16" t="inlineStr"/>
      <c r="F28" s="16" t="inlineStr"/>
      <c r="G28" s="16" t="inlineStr"/>
      <c r="H28" s="16" t="inlineStr"/>
      <c r="I28" s="16" t="inlineStr"/>
      <c r="J28" s="16" t="inlineStr">
        <is>
          <t>Open</t>
        </is>
      </c>
      <c r="K28" s="16" t="inlineStr">
        <is>
          <t>Medium</t>
        </is>
      </c>
      <c r="L28" s="16" t="inlineStr">
        <is>
          <t>Medium</t>
        </is>
      </c>
      <c r="M28" s="16" t="inlineStr">
        <is>
          <t>Possible</t>
        </is>
      </c>
      <c r="N28" s="21">
        <f>IF(OR(L28="",M28=""),"",IF(L28="Critical",4,IF(L28="High",3,IF(L28="Medium",2,1)))*IF(M28="Almost Certain",5,IF(M28="Likely",4,IF(M28="Possible",3,IF(M28="Unlikely",2,1)))))</f>
        <v/>
      </c>
      <c r="O28" s="20" t="inlineStr"/>
      <c r="P28" s="20" t="inlineStr"/>
      <c r="Q28" s="20" t="inlineStr"/>
      <c r="R28" s="21">
        <f>IF(O28="","",IF(Q28&lt;&gt;"",Q28-O28,TODAY()-O28))</f>
        <v/>
      </c>
      <c r="S28" s="17">
        <f>IF(R28="","",IF(R28&lt;=30,"0-30 Days",IF(R28&lt;=60,"31-60 Days",IF(R28&lt;=90,"61-90 Days",IF(R28&lt;=180,"91-180 Days","181+ Days")))))</f>
        <v/>
      </c>
      <c r="T28" s="16" t="inlineStr">
        <is>
          <t>Medium</t>
        </is>
      </c>
      <c r="U28" s="16" t="inlineStr">
        <is>
          <t>Pending</t>
        </is>
      </c>
      <c r="V28" s="16" t="inlineStr"/>
      <c r="W28" s="16" t="inlineStr"/>
      <c r="X28" s="16" t="inlineStr"/>
    </row>
    <row r="29">
      <c r="A29" s="16" t="inlineStr"/>
      <c r="B29" s="16" t="inlineStr"/>
      <c r="C29" s="17" t="inlineStr"/>
      <c r="D29" s="17" t="inlineStr"/>
      <c r="E29" s="16" t="inlineStr"/>
      <c r="F29" s="16" t="inlineStr"/>
      <c r="G29" s="16" t="inlineStr"/>
      <c r="H29" s="16" t="inlineStr"/>
      <c r="I29" s="16" t="inlineStr"/>
      <c r="J29" s="16" t="inlineStr">
        <is>
          <t>Open</t>
        </is>
      </c>
      <c r="K29" s="16" t="inlineStr">
        <is>
          <t>Medium</t>
        </is>
      </c>
      <c r="L29" s="16" t="inlineStr">
        <is>
          <t>Medium</t>
        </is>
      </c>
      <c r="M29" s="16" t="inlineStr">
        <is>
          <t>Possible</t>
        </is>
      </c>
      <c r="N29" s="21">
        <f>IF(OR(L29="",M29=""),"",IF(L29="Critical",4,IF(L29="High",3,IF(L29="Medium",2,1)))*IF(M29="Almost Certain",5,IF(M29="Likely",4,IF(M29="Possible",3,IF(M29="Unlikely",2,1)))))</f>
        <v/>
      </c>
      <c r="O29" s="20" t="inlineStr"/>
      <c r="P29" s="20" t="inlineStr"/>
      <c r="Q29" s="20" t="inlineStr"/>
      <c r="R29" s="21">
        <f>IF(O29="","",IF(Q29&lt;&gt;"",Q29-O29,TODAY()-O29))</f>
        <v/>
      </c>
      <c r="S29" s="17">
        <f>IF(R29="","",IF(R29&lt;=30,"0-30 Days",IF(R29&lt;=60,"31-60 Days",IF(R29&lt;=90,"61-90 Days",IF(R29&lt;=180,"91-180 Days","181+ Days")))))</f>
        <v/>
      </c>
      <c r="T29" s="16" t="inlineStr">
        <is>
          <t>Medium</t>
        </is>
      </c>
      <c r="U29" s="16" t="inlineStr">
        <is>
          <t>Pending</t>
        </is>
      </c>
      <c r="V29" s="16" t="inlineStr"/>
      <c r="W29" s="16" t="inlineStr"/>
      <c r="X29" s="16" t="inlineStr"/>
    </row>
    <row r="30">
      <c r="A30" s="16" t="inlineStr"/>
      <c r="B30" s="16" t="inlineStr"/>
      <c r="C30" s="17" t="inlineStr"/>
      <c r="D30" s="17" t="inlineStr"/>
      <c r="E30" s="16" t="inlineStr"/>
      <c r="F30" s="16" t="inlineStr"/>
      <c r="G30" s="16" t="inlineStr"/>
      <c r="H30" s="16" t="inlineStr"/>
      <c r="I30" s="16" t="inlineStr"/>
      <c r="J30" s="16" t="inlineStr">
        <is>
          <t>Open</t>
        </is>
      </c>
      <c r="K30" s="16" t="inlineStr">
        <is>
          <t>Medium</t>
        </is>
      </c>
      <c r="L30" s="16" t="inlineStr">
        <is>
          <t>Medium</t>
        </is>
      </c>
      <c r="M30" s="16" t="inlineStr">
        <is>
          <t>Possible</t>
        </is>
      </c>
      <c r="N30" s="21">
        <f>IF(OR(L30="",M30=""),"",IF(L30="Critical",4,IF(L30="High",3,IF(L30="Medium",2,1)))*IF(M30="Almost Certain",5,IF(M30="Likely",4,IF(M30="Possible",3,IF(M30="Unlikely",2,1)))))</f>
        <v/>
      </c>
      <c r="O30" s="20" t="inlineStr"/>
      <c r="P30" s="20" t="inlineStr"/>
      <c r="Q30" s="20" t="inlineStr"/>
      <c r="R30" s="21">
        <f>IF(O30="","",IF(Q30&lt;&gt;"",Q30-O30,TODAY()-O30))</f>
        <v/>
      </c>
      <c r="S30" s="17">
        <f>IF(R30="","",IF(R30&lt;=30,"0-30 Days",IF(R30&lt;=60,"31-60 Days",IF(R30&lt;=90,"61-90 Days",IF(R30&lt;=180,"91-180 Days","181+ Days")))))</f>
        <v/>
      </c>
      <c r="T30" s="16" t="inlineStr">
        <is>
          <t>Medium</t>
        </is>
      </c>
      <c r="U30" s="16" t="inlineStr">
        <is>
          <t>Pending</t>
        </is>
      </c>
      <c r="V30" s="16" t="inlineStr"/>
      <c r="W30" s="16" t="inlineStr"/>
      <c r="X30" s="16" t="inlineStr"/>
    </row>
    <row r="31">
      <c r="A31" s="16" t="inlineStr"/>
      <c r="B31" s="16" t="inlineStr"/>
      <c r="C31" s="17" t="inlineStr"/>
      <c r="D31" s="17" t="inlineStr"/>
      <c r="E31" s="16" t="inlineStr"/>
      <c r="F31" s="16" t="inlineStr"/>
      <c r="G31" s="16" t="inlineStr"/>
      <c r="H31" s="16" t="inlineStr"/>
      <c r="I31" s="16" t="inlineStr"/>
      <c r="J31" s="16" t="inlineStr">
        <is>
          <t>Open</t>
        </is>
      </c>
      <c r="K31" s="16" t="inlineStr">
        <is>
          <t>Medium</t>
        </is>
      </c>
      <c r="L31" s="16" t="inlineStr">
        <is>
          <t>Medium</t>
        </is>
      </c>
      <c r="M31" s="16" t="inlineStr">
        <is>
          <t>Possible</t>
        </is>
      </c>
      <c r="N31" s="21">
        <f>IF(OR(L31="",M31=""),"",IF(L31="Critical",4,IF(L31="High",3,IF(L31="Medium",2,1)))*IF(M31="Almost Certain",5,IF(M31="Likely",4,IF(M31="Possible",3,IF(M31="Unlikely",2,1)))))</f>
        <v/>
      </c>
      <c r="O31" s="20" t="inlineStr"/>
      <c r="P31" s="20" t="inlineStr"/>
      <c r="Q31" s="20" t="inlineStr"/>
      <c r="R31" s="21">
        <f>IF(O31="","",IF(Q31&lt;&gt;"",Q31-O31,TODAY()-O31))</f>
        <v/>
      </c>
      <c r="S31" s="17">
        <f>IF(R31="","",IF(R31&lt;=30,"0-30 Days",IF(R31&lt;=60,"31-60 Days",IF(R31&lt;=90,"61-90 Days",IF(R31&lt;=180,"91-180 Days","181+ Days")))))</f>
        <v/>
      </c>
      <c r="T31" s="16" t="inlineStr">
        <is>
          <t>Medium</t>
        </is>
      </c>
      <c r="U31" s="16" t="inlineStr">
        <is>
          <t>Pending</t>
        </is>
      </c>
      <c r="V31" s="16" t="inlineStr"/>
      <c r="W31" s="16" t="inlineStr"/>
      <c r="X31" s="16" t="inlineStr"/>
    </row>
    <row r="32">
      <c r="A32" s="16" t="inlineStr"/>
      <c r="B32" s="16" t="inlineStr"/>
      <c r="C32" s="17" t="inlineStr"/>
      <c r="D32" s="17" t="inlineStr"/>
      <c r="E32" s="16" t="inlineStr"/>
      <c r="F32" s="16" t="inlineStr"/>
      <c r="G32" s="16" t="inlineStr"/>
      <c r="H32" s="16" t="inlineStr"/>
      <c r="I32" s="16" t="inlineStr"/>
      <c r="J32" s="16" t="inlineStr">
        <is>
          <t>Open</t>
        </is>
      </c>
      <c r="K32" s="16" t="inlineStr">
        <is>
          <t>Medium</t>
        </is>
      </c>
      <c r="L32" s="16" t="inlineStr">
        <is>
          <t>Medium</t>
        </is>
      </c>
      <c r="M32" s="16" t="inlineStr">
        <is>
          <t>Possible</t>
        </is>
      </c>
      <c r="N32" s="21">
        <f>IF(OR(L32="",M32=""),"",IF(L32="Critical",4,IF(L32="High",3,IF(L32="Medium",2,1)))*IF(M32="Almost Certain",5,IF(M32="Likely",4,IF(M32="Possible",3,IF(M32="Unlikely",2,1)))))</f>
        <v/>
      </c>
      <c r="O32" s="20" t="inlineStr"/>
      <c r="P32" s="20" t="inlineStr"/>
      <c r="Q32" s="20" t="inlineStr"/>
      <c r="R32" s="21">
        <f>IF(O32="","",IF(Q32&lt;&gt;"",Q32-O32,TODAY()-O32))</f>
        <v/>
      </c>
      <c r="S32" s="17">
        <f>IF(R32="","",IF(R32&lt;=30,"0-30 Days",IF(R32&lt;=60,"31-60 Days",IF(R32&lt;=90,"61-90 Days",IF(R32&lt;=180,"91-180 Days","181+ Days")))))</f>
        <v/>
      </c>
      <c r="T32" s="16" t="inlineStr">
        <is>
          <t>Medium</t>
        </is>
      </c>
      <c r="U32" s="16" t="inlineStr">
        <is>
          <t>Pending</t>
        </is>
      </c>
      <c r="V32" s="16" t="inlineStr"/>
      <c r="W32" s="16" t="inlineStr"/>
      <c r="X32" s="16" t="inlineStr"/>
    </row>
    <row r="33">
      <c r="A33" s="16" t="inlineStr"/>
      <c r="B33" s="16" t="inlineStr"/>
      <c r="C33" s="17" t="inlineStr"/>
      <c r="D33" s="17" t="inlineStr"/>
      <c r="E33" s="16" t="inlineStr"/>
      <c r="F33" s="16" t="inlineStr"/>
      <c r="G33" s="16" t="inlineStr"/>
      <c r="H33" s="16" t="inlineStr"/>
      <c r="I33" s="16" t="inlineStr"/>
      <c r="J33" s="16" t="inlineStr">
        <is>
          <t>Open</t>
        </is>
      </c>
      <c r="K33" s="16" t="inlineStr">
        <is>
          <t>Medium</t>
        </is>
      </c>
      <c r="L33" s="16" t="inlineStr">
        <is>
          <t>Medium</t>
        </is>
      </c>
      <c r="M33" s="16" t="inlineStr">
        <is>
          <t>Possible</t>
        </is>
      </c>
      <c r="N33" s="21">
        <f>IF(OR(L33="",M33=""),"",IF(L33="Critical",4,IF(L33="High",3,IF(L33="Medium",2,1)))*IF(M33="Almost Certain",5,IF(M33="Likely",4,IF(M33="Possible",3,IF(M33="Unlikely",2,1)))))</f>
        <v/>
      </c>
      <c r="O33" s="20" t="inlineStr"/>
      <c r="P33" s="20" t="inlineStr"/>
      <c r="Q33" s="20" t="inlineStr"/>
      <c r="R33" s="21">
        <f>IF(O33="","",IF(Q33&lt;&gt;"",Q33-O33,TODAY()-O33))</f>
        <v/>
      </c>
      <c r="S33" s="17">
        <f>IF(R33="","",IF(R33&lt;=30,"0-30 Days",IF(R33&lt;=60,"31-60 Days",IF(R33&lt;=90,"61-90 Days",IF(R33&lt;=180,"91-180 Days","181+ Days")))))</f>
        <v/>
      </c>
      <c r="T33" s="16" t="inlineStr">
        <is>
          <t>Medium</t>
        </is>
      </c>
      <c r="U33" s="16" t="inlineStr">
        <is>
          <t>Pending</t>
        </is>
      </c>
      <c r="V33" s="16" t="inlineStr"/>
      <c r="W33" s="16" t="inlineStr"/>
      <c r="X33" s="16" t="inlineStr"/>
    </row>
    <row r="34">
      <c r="A34" s="16" t="inlineStr"/>
      <c r="B34" s="16" t="inlineStr"/>
      <c r="C34" s="17" t="inlineStr"/>
      <c r="D34" s="17" t="inlineStr"/>
      <c r="E34" s="16" t="inlineStr"/>
      <c r="F34" s="16" t="inlineStr"/>
      <c r="G34" s="16" t="inlineStr"/>
      <c r="H34" s="16" t="inlineStr"/>
      <c r="I34" s="16" t="inlineStr"/>
      <c r="J34" s="16" t="inlineStr">
        <is>
          <t>Open</t>
        </is>
      </c>
      <c r="K34" s="16" t="inlineStr">
        <is>
          <t>Medium</t>
        </is>
      </c>
      <c r="L34" s="16" t="inlineStr">
        <is>
          <t>Medium</t>
        </is>
      </c>
      <c r="M34" s="16" t="inlineStr">
        <is>
          <t>Possible</t>
        </is>
      </c>
      <c r="N34" s="21">
        <f>IF(OR(L34="",M34=""),"",IF(L34="Critical",4,IF(L34="High",3,IF(L34="Medium",2,1)))*IF(M34="Almost Certain",5,IF(M34="Likely",4,IF(M34="Possible",3,IF(M34="Unlikely",2,1)))))</f>
        <v/>
      </c>
      <c r="O34" s="20" t="inlineStr"/>
      <c r="P34" s="20" t="inlineStr"/>
      <c r="Q34" s="20" t="inlineStr"/>
      <c r="R34" s="21">
        <f>IF(O34="","",IF(Q34&lt;&gt;"",Q34-O34,TODAY()-O34))</f>
        <v/>
      </c>
      <c r="S34" s="17">
        <f>IF(R34="","",IF(R34&lt;=30,"0-30 Days",IF(R34&lt;=60,"31-60 Days",IF(R34&lt;=90,"61-90 Days",IF(R34&lt;=180,"91-180 Days","181+ Days")))))</f>
        <v/>
      </c>
      <c r="T34" s="16" t="inlineStr">
        <is>
          <t>Medium</t>
        </is>
      </c>
      <c r="U34" s="16" t="inlineStr">
        <is>
          <t>Pending</t>
        </is>
      </c>
      <c r="V34" s="16" t="inlineStr"/>
      <c r="W34" s="16" t="inlineStr"/>
      <c r="X34" s="16" t="inlineStr"/>
    </row>
    <row r="35">
      <c r="A35" s="16" t="inlineStr"/>
      <c r="B35" s="16" t="inlineStr"/>
      <c r="C35" s="17" t="inlineStr"/>
      <c r="D35" s="17" t="inlineStr"/>
      <c r="E35" s="16" t="inlineStr"/>
      <c r="F35" s="16" t="inlineStr"/>
      <c r="G35" s="16" t="inlineStr"/>
      <c r="H35" s="16" t="inlineStr"/>
      <c r="I35" s="16" t="inlineStr"/>
      <c r="J35" s="16" t="inlineStr">
        <is>
          <t>Open</t>
        </is>
      </c>
      <c r="K35" s="16" t="inlineStr">
        <is>
          <t>Medium</t>
        </is>
      </c>
      <c r="L35" s="16" t="inlineStr">
        <is>
          <t>Medium</t>
        </is>
      </c>
      <c r="M35" s="16" t="inlineStr">
        <is>
          <t>Possible</t>
        </is>
      </c>
      <c r="N35" s="21">
        <f>IF(OR(L35="",M35=""),"",IF(L35="Critical",4,IF(L35="High",3,IF(L35="Medium",2,1)))*IF(M35="Almost Certain",5,IF(M35="Likely",4,IF(M35="Possible",3,IF(M35="Unlikely",2,1)))))</f>
        <v/>
      </c>
      <c r="O35" s="20" t="inlineStr"/>
      <c r="P35" s="20" t="inlineStr"/>
      <c r="Q35" s="20" t="inlineStr"/>
      <c r="R35" s="21">
        <f>IF(O35="","",IF(Q35&lt;&gt;"",Q35-O35,TODAY()-O35))</f>
        <v/>
      </c>
      <c r="S35" s="17">
        <f>IF(R35="","",IF(R35&lt;=30,"0-30 Days",IF(R35&lt;=60,"31-60 Days",IF(R35&lt;=90,"61-90 Days",IF(R35&lt;=180,"91-180 Days","181+ Days")))))</f>
        <v/>
      </c>
      <c r="T35" s="16" t="inlineStr">
        <is>
          <t>Medium</t>
        </is>
      </c>
      <c r="U35" s="16" t="inlineStr">
        <is>
          <t>Pending</t>
        </is>
      </c>
      <c r="V35" s="16" t="inlineStr"/>
      <c r="W35" s="16" t="inlineStr"/>
      <c r="X35" s="16" t="inlineStr"/>
    </row>
    <row r="36">
      <c r="A36" s="16" t="inlineStr"/>
      <c r="B36" s="16" t="inlineStr"/>
      <c r="C36" s="17" t="inlineStr"/>
      <c r="D36" s="17" t="inlineStr"/>
      <c r="E36" s="16" t="inlineStr"/>
      <c r="F36" s="16" t="inlineStr"/>
      <c r="G36" s="16" t="inlineStr"/>
      <c r="H36" s="16" t="inlineStr"/>
      <c r="I36" s="16" t="inlineStr"/>
      <c r="J36" s="16" t="inlineStr">
        <is>
          <t>Open</t>
        </is>
      </c>
      <c r="K36" s="16" t="inlineStr">
        <is>
          <t>Medium</t>
        </is>
      </c>
      <c r="L36" s="16" t="inlineStr">
        <is>
          <t>Medium</t>
        </is>
      </c>
      <c r="M36" s="16" t="inlineStr">
        <is>
          <t>Possible</t>
        </is>
      </c>
      <c r="N36" s="21">
        <f>IF(OR(L36="",M36=""),"",IF(L36="Critical",4,IF(L36="High",3,IF(L36="Medium",2,1)))*IF(M36="Almost Certain",5,IF(M36="Likely",4,IF(M36="Possible",3,IF(M36="Unlikely",2,1)))))</f>
        <v/>
      </c>
      <c r="O36" s="20" t="inlineStr"/>
      <c r="P36" s="20" t="inlineStr"/>
      <c r="Q36" s="20" t="inlineStr"/>
      <c r="R36" s="21">
        <f>IF(O36="","",IF(Q36&lt;&gt;"",Q36-O36,TODAY()-O36))</f>
        <v/>
      </c>
      <c r="S36" s="17">
        <f>IF(R36="","",IF(R36&lt;=30,"0-30 Days",IF(R36&lt;=60,"31-60 Days",IF(R36&lt;=90,"61-90 Days",IF(R36&lt;=180,"91-180 Days","181+ Days")))))</f>
        <v/>
      </c>
      <c r="T36" s="16" t="inlineStr">
        <is>
          <t>Medium</t>
        </is>
      </c>
      <c r="U36" s="16" t="inlineStr">
        <is>
          <t>Pending</t>
        </is>
      </c>
      <c r="V36" s="16" t="inlineStr"/>
      <c r="W36" s="16" t="inlineStr"/>
      <c r="X36" s="16" t="inlineStr"/>
    </row>
    <row r="37">
      <c r="A37" s="16" t="inlineStr"/>
      <c r="B37" s="16" t="inlineStr"/>
      <c r="C37" s="17" t="inlineStr"/>
      <c r="D37" s="17" t="inlineStr"/>
      <c r="E37" s="16" t="inlineStr"/>
      <c r="F37" s="16" t="inlineStr"/>
      <c r="G37" s="16" t="inlineStr"/>
      <c r="H37" s="16" t="inlineStr"/>
      <c r="I37" s="16" t="inlineStr"/>
      <c r="J37" s="16" t="inlineStr">
        <is>
          <t>Open</t>
        </is>
      </c>
      <c r="K37" s="16" t="inlineStr">
        <is>
          <t>Medium</t>
        </is>
      </c>
      <c r="L37" s="16" t="inlineStr">
        <is>
          <t>Medium</t>
        </is>
      </c>
      <c r="M37" s="16" t="inlineStr">
        <is>
          <t>Possible</t>
        </is>
      </c>
      <c r="N37" s="21">
        <f>IF(OR(L37="",M37=""),"",IF(L37="Critical",4,IF(L37="High",3,IF(L37="Medium",2,1)))*IF(M37="Almost Certain",5,IF(M37="Likely",4,IF(M37="Possible",3,IF(M37="Unlikely",2,1)))))</f>
        <v/>
      </c>
      <c r="O37" s="20" t="inlineStr"/>
      <c r="P37" s="20" t="inlineStr"/>
      <c r="Q37" s="20" t="inlineStr"/>
      <c r="R37" s="21">
        <f>IF(O37="","",IF(Q37&lt;&gt;"",Q37-O37,TODAY()-O37))</f>
        <v/>
      </c>
      <c r="S37" s="17">
        <f>IF(R37="","",IF(R37&lt;=30,"0-30 Days",IF(R37&lt;=60,"31-60 Days",IF(R37&lt;=90,"61-90 Days",IF(R37&lt;=180,"91-180 Days","181+ Days")))))</f>
        <v/>
      </c>
      <c r="T37" s="16" t="inlineStr">
        <is>
          <t>Medium</t>
        </is>
      </c>
      <c r="U37" s="16" t="inlineStr">
        <is>
          <t>Pending</t>
        </is>
      </c>
      <c r="V37" s="16" t="inlineStr"/>
      <c r="W37" s="16" t="inlineStr"/>
      <c r="X37" s="16" t="inlineStr"/>
    </row>
    <row r="38">
      <c r="A38" s="16" t="inlineStr"/>
      <c r="B38" s="16" t="inlineStr"/>
      <c r="C38" s="17" t="inlineStr"/>
      <c r="D38" s="17" t="inlineStr"/>
      <c r="E38" s="16" t="inlineStr"/>
      <c r="F38" s="16" t="inlineStr"/>
      <c r="G38" s="16" t="inlineStr"/>
      <c r="H38" s="16" t="inlineStr"/>
      <c r="I38" s="16" t="inlineStr"/>
      <c r="J38" s="16" t="inlineStr">
        <is>
          <t>Open</t>
        </is>
      </c>
      <c r="K38" s="16" t="inlineStr">
        <is>
          <t>Medium</t>
        </is>
      </c>
      <c r="L38" s="16" t="inlineStr">
        <is>
          <t>Medium</t>
        </is>
      </c>
      <c r="M38" s="16" t="inlineStr">
        <is>
          <t>Possible</t>
        </is>
      </c>
      <c r="N38" s="21">
        <f>IF(OR(L38="",M38=""),"",IF(L38="Critical",4,IF(L38="High",3,IF(L38="Medium",2,1)))*IF(M38="Almost Certain",5,IF(M38="Likely",4,IF(M38="Possible",3,IF(M38="Unlikely",2,1)))))</f>
        <v/>
      </c>
      <c r="O38" s="20" t="inlineStr"/>
      <c r="P38" s="20" t="inlineStr"/>
      <c r="Q38" s="20" t="inlineStr"/>
      <c r="R38" s="21">
        <f>IF(O38="","",IF(Q38&lt;&gt;"",Q38-O38,TODAY()-O38))</f>
        <v/>
      </c>
      <c r="S38" s="17">
        <f>IF(R38="","",IF(R38&lt;=30,"0-30 Days",IF(R38&lt;=60,"31-60 Days",IF(R38&lt;=90,"61-90 Days",IF(R38&lt;=180,"91-180 Days","181+ Days")))))</f>
        <v/>
      </c>
      <c r="T38" s="16" t="inlineStr">
        <is>
          <t>Medium</t>
        </is>
      </c>
      <c r="U38" s="16" t="inlineStr">
        <is>
          <t>Pending</t>
        </is>
      </c>
      <c r="V38" s="16" t="inlineStr"/>
      <c r="W38" s="16" t="inlineStr"/>
      <c r="X38" s="16" t="inlineStr"/>
    </row>
    <row r="39">
      <c r="A39" s="16" t="inlineStr"/>
      <c r="B39" s="16" t="inlineStr"/>
      <c r="C39" s="17" t="inlineStr"/>
      <c r="D39" s="17" t="inlineStr"/>
      <c r="E39" s="16" t="inlineStr"/>
      <c r="F39" s="16" t="inlineStr"/>
      <c r="G39" s="16" t="inlineStr"/>
      <c r="H39" s="16" t="inlineStr"/>
      <c r="I39" s="16" t="inlineStr"/>
      <c r="J39" s="16" t="inlineStr">
        <is>
          <t>Open</t>
        </is>
      </c>
      <c r="K39" s="16" t="inlineStr">
        <is>
          <t>Medium</t>
        </is>
      </c>
      <c r="L39" s="16" t="inlineStr">
        <is>
          <t>Medium</t>
        </is>
      </c>
      <c r="M39" s="16" t="inlineStr">
        <is>
          <t>Possible</t>
        </is>
      </c>
      <c r="N39" s="21">
        <f>IF(OR(L39="",M39=""),"",IF(L39="Critical",4,IF(L39="High",3,IF(L39="Medium",2,1)))*IF(M39="Almost Certain",5,IF(M39="Likely",4,IF(M39="Possible",3,IF(M39="Unlikely",2,1)))))</f>
        <v/>
      </c>
      <c r="O39" s="20" t="inlineStr"/>
      <c r="P39" s="20" t="inlineStr"/>
      <c r="Q39" s="20" t="inlineStr"/>
      <c r="R39" s="21">
        <f>IF(O39="","",IF(Q39&lt;&gt;"",Q39-O39,TODAY()-O39))</f>
        <v/>
      </c>
      <c r="S39" s="17">
        <f>IF(R39="","",IF(R39&lt;=30,"0-30 Days",IF(R39&lt;=60,"31-60 Days",IF(R39&lt;=90,"61-90 Days",IF(R39&lt;=180,"91-180 Days","181+ Days")))))</f>
        <v/>
      </c>
      <c r="T39" s="16" t="inlineStr">
        <is>
          <t>Medium</t>
        </is>
      </c>
      <c r="U39" s="16" t="inlineStr">
        <is>
          <t>Pending</t>
        </is>
      </c>
      <c r="V39" s="16" t="inlineStr"/>
      <c r="W39" s="16" t="inlineStr"/>
      <c r="X39" s="16" t="inlineStr"/>
    </row>
    <row r="40">
      <c r="A40" s="16" t="inlineStr"/>
      <c r="B40" s="16" t="inlineStr"/>
      <c r="C40" s="17" t="inlineStr"/>
      <c r="D40" s="17" t="inlineStr"/>
      <c r="E40" s="16" t="inlineStr"/>
      <c r="F40" s="16" t="inlineStr"/>
      <c r="G40" s="16" t="inlineStr"/>
      <c r="H40" s="16" t="inlineStr"/>
      <c r="I40" s="16" t="inlineStr"/>
      <c r="J40" s="16" t="inlineStr">
        <is>
          <t>Open</t>
        </is>
      </c>
      <c r="K40" s="16" t="inlineStr">
        <is>
          <t>Medium</t>
        </is>
      </c>
      <c r="L40" s="16" t="inlineStr">
        <is>
          <t>Medium</t>
        </is>
      </c>
      <c r="M40" s="16" t="inlineStr">
        <is>
          <t>Possible</t>
        </is>
      </c>
      <c r="N40" s="21">
        <f>IF(OR(L40="",M40=""),"",IF(L40="Critical",4,IF(L40="High",3,IF(L40="Medium",2,1)))*IF(M40="Almost Certain",5,IF(M40="Likely",4,IF(M40="Possible",3,IF(M40="Unlikely",2,1)))))</f>
        <v/>
      </c>
      <c r="O40" s="20" t="inlineStr"/>
      <c r="P40" s="20" t="inlineStr"/>
      <c r="Q40" s="20" t="inlineStr"/>
      <c r="R40" s="21">
        <f>IF(O40="","",IF(Q40&lt;&gt;"",Q40-O40,TODAY()-O40))</f>
        <v/>
      </c>
      <c r="S40" s="17">
        <f>IF(R40="","",IF(R40&lt;=30,"0-30 Days",IF(R40&lt;=60,"31-60 Days",IF(R40&lt;=90,"61-90 Days",IF(R40&lt;=180,"91-180 Days","181+ Days")))))</f>
        <v/>
      </c>
      <c r="T40" s="16" t="inlineStr">
        <is>
          <t>Medium</t>
        </is>
      </c>
      <c r="U40" s="16" t="inlineStr">
        <is>
          <t>Pending</t>
        </is>
      </c>
      <c r="V40" s="16" t="inlineStr"/>
      <c r="W40" s="16" t="inlineStr"/>
      <c r="X40" s="16" t="inlineStr"/>
    </row>
    <row r="41">
      <c r="A41" s="16" t="inlineStr"/>
      <c r="B41" s="16" t="inlineStr"/>
      <c r="C41" s="17" t="inlineStr"/>
      <c r="D41" s="17" t="inlineStr"/>
      <c r="E41" s="16" t="inlineStr"/>
      <c r="F41" s="16" t="inlineStr"/>
      <c r="G41" s="16" t="inlineStr"/>
      <c r="H41" s="16" t="inlineStr"/>
      <c r="I41" s="16" t="inlineStr"/>
      <c r="J41" s="16" t="inlineStr">
        <is>
          <t>Open</t>
        </is>
      </c>
      <c r="K41" s="16" t="inlineStr">
        <is>
          <t>Medium</t>
        </is>
      </c>
      <c r="L41" s="16" t="inlineStr">
        <is>
          <t>Medium</t>
        </is>
      </c>
      <c r="M41" s="16" t="inlineStr">
        <is>
          <t>Possible</t>
        </is>
      </c>
      <c r="N41" s="21">
        <f>IF(OR(L41="",M41=""),"",IF(L41="Critical",4,IF(L41="High",3,IF(L41="Medium",2,1)))*IF(M41="Almost Certain",5,IF(M41="Likely",4,IF(M41="Possible",3,IF(M41="Unlikely",2,1)))))</f>
        <v/>
      </c>
      <c r="O41" s="20" t="inlineStr"/>
      <c r="P41" s="20" t="inlineStr"/>
      <c r="Q41" s="20" t="inlineStr"/>
      <c r="R41" s="21">
        <f>IF(O41="","",IF(Q41&lt;&gt;"",Q41-O41,TODAY()-O41))</f>
        <v/>
      </c>
      <c r="S41" s="17">
        <f>IF(R41="","",IF(R41&lt;=30,"0-30 Days",IF(R41&lt;=60,"31-60 Days",IF(R41&lt;=90,"61-90 Days",IF(R41&lt;=180,"91-180 Days","181+ Days")))))</f>
        <v/>
      </c>
      <c r="T41" s="16" t="inlineStr">
        <is>
          <t>Medium</t>
        </is>
      </c>
      <c r="U41" s="16" t="inlineStr">
        <is>
          <t>Pending</t>
        </is>
      </c>
      <c r="V41" s="16" t="inlineStr"/>
      <c r="W41" s="16" t="inlineStr"/>
      <c r="X41" s="16" t="inlineStr"/>
    </row>
    <row r="42">
      <c r="A42" s="16" t="inlineStr"/>
      <c r="B42" s="16" t="inlineStr"/>
      <c r="C42" s="17" t="inlineStr"/>
      <c r="D42" s="17" t="inlineStr"/>
      <c r="E42" s="16" t="inlineStr"/>
      <c r="F42" s="16" t="inlineStr"/>
      <c r="G42" s="16" t="inlineStr"/>
      <c r="H42" s="16" t="inlineStr"/>
      <c r="I42" s="16" t="inlineStr"/>
      <c r="J42" s="16" t="inlineStr">
        <is>
          <t>Open</t>
        </is>
      </c>
      <c r="K42" s="16" t="inlineStr">
        <is>
          <t>Medium</t>
        </is>
      </c>
      <c r="L42" s="16" t="inlineStr">
        <is>
          <t>Medium</t>
        </is>
      </c>
      <c r="M42" s="16" t="inlineStr">
        <is>
          <t>Possible</t>
        </is>
      </c>
      <c r="N42" s="21">
        <f>IF(OR(L42="",M42=""),"",IF(L42="Critical",4,IF(L42="High",3,IF(L42="Medium",2,1)))*IF(M42="Almost Certain",5,IF(M42="Likely",4,IF(M42="Possible",3,IF(M42="Unlikely",2,1)))))</f>
        <v/>
      </c>
      <c r="O42" s="20" t="inlineStr"/>
      <c r="P42" s="20" t="inlineStr"/>
      <c r="Q42" s="20" t="inlineStr"/>
      <c r="R42" s="21">
        <f>IF(O42="","",IF(Q42&lt;&gt;"",Q42-O42,TODAY()-O42))</f>
        <v/>
      </c>
      <c r="S42" s="17">
        <f>IF(R42="","",IF(R42&lt;=30,"0-30 Days",IF(R42&lt;=60,"31-60 Days",IF(R42&lt;=90,"61-90 Days",IF(R42&lt;=180,"91-180 Days","181+ Days")))))</f>
        <v/>
      </c>
      <c r="T42" s="16" t="inlineStr">
        <is>
          <t>Medium</t>
        </is>
      </c>
      <c r="U42" s="16" t="inlineStr">
        <is>
          <t>Pending</t>
        </is>
      </c>
      <c r="V42" s="16" t="inlineStr"/>
      <c r="W42" s="16" t="inlineStr"/>
      <c r="X42" s="16" t="inlineStr"/>
    </row>
    <row r="43">
      <c r="A43" s="16" t="inlineStr"/>
      <c r="B43" s="16" t="inlineStr"/>
      <c r="C43" s="17" t="inlineStr"/>
      <c r="D43" s="17" t="inlineStr"/>
      <c r="E43" s="16" t="inlineStr"/>
      <c r="F43" s="16" t="inlineStr"/>
      <c r="G43" s="16" t="inlineStr"/>
      <c r="H43" s="16" t="inlineStr"/>
      <c r="I43" s="16" t="inlineStr"/>
      <c r="J43" s="16" t="inlineStr">
        <is>
          <t>Open</t>
        </is>
      </c>
      <c r="K43" s="16" t="inlineStr">
        <is>
          <t>Medium</t>
        </is>
      </c>
      <c r="L43" s="16" t="inlineStr">
        <is>
          <t>Medium</t>
        </is>
      </c>
      <c r="M43" s="16" t="inlineStr">
        <is>
          <t>Possible</t>
        </is>
      </c>
      <c r="N43" s="21">
        <f>IF(OR(L43="",M43=""),"",IF(L43="Critical",4,IF(L43="High",3,IF(L43="Medium",2,1)))*IF(M43="Almost Certain",5,IF(M43="Likely",4,IF(M43="Possible",3,IF(M43="Unlikely",2,1)))))</f>
        <v/>
      </c>
      <c r="O43" s="20" t="inlineStr"/>
      <c r="P43" s="20" t="inlineStr"/>
      <c r="Q43" s="20" t="inlineStr"/>
      <c r="R43" s="21">
        <f>IF(O43="","",IF(Q43&lt;&gt;"",Q43-O43,TODAY()-O43))</f>
        <v/>
      </c>
      <c r="S43" s="17">
        <f>IF(R43="","",IF(R43&lt;=30,"0-30 Days",IF(R43&lt;=60,"31-60 Days",IF(R43&lt;=90,"61-90 Days",IF(R43&lt;=180,"91-180 Days","181+ Days")))))</f>
        <v/>
      </c>
      <c r="T43" s="16" t="inlineStr">
        <is>
          <t>Medium</t>
        </is>
      </c>
      <c r="U43" s="16" t="inlineStr">
        <is>
          <t>Pending</t>
        </is>
      </c>
      <c r="V43" s="16" t="inlineStr"/>
      <c r="W43" s="16" t="inlineStr"/>
      <c r="X43" s="16" t="inlineStr"/>
    </row>
    <row r="44">
      <c r="A44" s="16" t="inlineStr"/>
      <c r="B44" s="16" t="inlineStr"/>
      <c r="C44" s="17" t="inlineStr"/>
      <c r="D44" s="17" t="inlineStr"/>
      <c r="E44" s="16" t="inlineStr"/>
      <c r="F44" s="16" t="inlineStr"/>
      <c r="G44" s="16" t="inlineStr"/>
      <c r="H44" s="16" t="inlineStr"/>
      <c r="I44" s="16" t="inlineStr"/>
      <c r="J44" s="16" t="inlineStr">
        <is>
          <t>Open</t>
        </is>
      </c>
      <c r="K44" s="16" t="inlineStr">
        <is>
          <t>Medium</t>
        </is>
      </c>
      <c r="L44" s="16" t="inlineStr">
        <is>
          <t>Medium</t>
        </is>
      </c>
      <c r="M44" s="16" t="inlineStr">
        <is>
          <t>Possible</t>
        </is>
      </c>
      <c r="N44" s="21">
        <f>IF(OR(L44="",M44=""),"",IF(L44="Critical",4,IF(L44="High",3,IF(L44="Medium",2,1)))*IF(M44="Almost Certain",5,IF(M44="Likely",4,IF(M44="Possible",3,IF(M44="Unlikely",2,1)))))</f>
        <v/>
      </c>
      <c r="O44" s="20" t="inlineStr"/>
      <c r="P44" s="20" t="inlineStr"/>
      <c r="Q44" s="20" t="inlineStr"/>
      <c r="R44" s="21">
        <f>IF(O44="","",IF(Q44&lt;&gt;"",Q44-O44,TODAY()-O44))</f>
        <v/>
      </c>
      <c r="S44" s="17">
        <f>IF(R44="","",IF(R44&lt;=30,"0-30 Days",IF(R44&lt;=60,"31-60 Days",IF(R44&lt;=90,"61-90 Days",IF(R44&lt;=180,"91-180 Days","181+ Days")))))</f>
        <v/>
      </c>
      <c r="T44" s="16" t="inlineStr">
        <is>
          <t>Medium</t>
        </is>
      </c>
      <c r="U44" s="16" t="inlineStr">
        <is>
          <t>Pending</t>
        </is>
      </c>
      <c r="V44" s="16" t="inlineStr"/>
      <c r="W44" s="16" t="inlineStr"/>
      <c r="X44" s="16" t="inlineStr"/>
    </row>
    <row r="45">
      <c r="A45" s="16" t="inlineStr"/>
      <c r="B45" s="16" t="inlineStr"/>
      <c r="C45" s="17" t="inlineStr"/>
      <c r="D45" s="17" t="inlineStr"/>
      <c r="E45" s="16" t="inlineStr"/>
      <c r="F45" s="16" t="inlineStr"/>
      <c r="G45" s="16" t="inlineStr"/>
      <c r="H45" s="16" t="inlineStr"/>
      <c r="I45" s="16" t="inlineStr"/>
      <c r="J45" s="16" t="inlineStr">
        <is>
          <t>Open</t>
        </is>
      </c>
      <c r="K45" s="16" t="inlineStr">
        <is>
          <t>Medium</t>
        </is>
      </c>
      <c r="L45" s="16" t="inlineStr">
        <is>
          <t>Medium</t>
        </is>
      </c>
      <c r="M45" s="16" t="inlineStr">
        <is>
          <t>Possible</t>
        </is>
      </c>
      <c r="N45" s="21">
        <f>IF(OR(L45="",M45=""),"",IF(L45="Critical",4,IF(L45="High",3,IF(L45="Medium",2,1)))*IF(M45="Almost Certain",5,IF(M45="Likely",4,IF(M45="Possible",3,IF(M45="Unlikely",2,1)))))</f>
        <v/>
      </c>
      <c r="O45" s="20" t="inlineStr"/>
      <c r="P45" s="20" t="inlineStr"/>
      <c r="Q45" s="20" t="inlineStr"/>
      <c r="R45" s="21">
        <f>IF(O45="","",IF(Q45&lt;&gt;"",Q45-O45,TODAY()-O45))</f>
        <v/>
      </c>
      <c r="S45" s="17">
        <f>IF(R45="","",IF(R45&lt;=30,"0-30 Days",IF(R45&lt;=60,"31-60 Days",IF(R45&lt;=90,"61-90 Days",IF(R45&lt;=180,"91-180 Days","181+ Days")))))</f>
        <v/>
      </c>
      <c r="T45" s="16" t="inlineStr">
        <is>
          <t>Medium</t>
        </is>
      </c>
      <c r="U45" s="16" t="inlineStr">
        <is>
          <t>Pending</t>
        </is>
      </c>
      <c r="V45" s="16" t="inlineStr"/>
      <c r="W45" s="16" t="inlineStr"/>
      <c r="X45" s="16" t="inlineStr"/>
    </row>
    <row r="46">
      <c r="A46" s="16" t="inlineStr"/>
      <c r="B46" s="16" t="inlineStr"/>
      <c r="C46" s="17" t="inlineStr"/>
      <c r="D46" s="17" t="inlineStr"/>
      <c r="E46" s="16" t="inlineStr"/>
      <c r="F46" s="16" t="inlineStr"/>
      <c r="G46" s="16" t="inlineStr"/>
      <c r="H46" s="16" t="inlineStr"/>
      <c r="I46" s="16" t="inlineStr"/>
      <c r="J46" s="16" t="inlineStr">
        <is>
          <t>Open</t>
        </is>
      </c>
      <c r="K46" s="16" t="inlineStr">
        <is>
          <t>Medium</t>
        </is>
      </c>
      <c r="L46" s="16" t="inlineStr">
        <is>
          <t>Medium</t>
        </is>
      </c>
      <c r="M46" s="16" t="inlineStr">
        <is>
          <t>Possible</t>
        </is>
      </c>
      <c r="N46" s="21">
        <f>IF(OR(L46="",M46=""),"",IF(L46="Critical",4,IF(L46="High",3,IF(L46="Medium",2,1)))*IF(M46="Almost Certain",5,IF(M46="Likely",4,IF(M46="Possible",3,IF(M46="Unlikely",2,1)))))</f>
        <v/>
      </c>
      <c r="O46" s="20" t="inlineStr"/>
      <c r="P46" s="20" t="inlineStr"/>
      <c r="Q46" s="20" t="inlineStr"/>
      <c r="R46" s="21">
        <f>IF(O46="","",IF(Q46&lt;&gt;"",Q46-O46,TODAY()-O46))</f>
        <v/>
      </c>
      <c r="S46" s="17">
        <f>IF(R46="","",IF(R46&lt;=30,"0-30 Days",IF(R46&lt;=60,"31-60 Days",IF(R46&lt;=90,"61-90 Days",IF(R46&lt;=180,"91-180 Days","181+ Days")))))</f>
        <v/>
      </c>
      <c r="T46" s="16" t="inlineStr">
        <is>
          <t>Medium</t>
        </is>
      </c>
      <c r="U46" s="16" t="inlineStr">
        <is>
          <t>Pending</t>
        </is>
      </c>
      <c r="V46" s="16" t="inlineStr"/>
      <c r="W46" s="16" t="inlineStr"/>
      <c r="X46" s="16" t="inlineStr"/>
    </row>
    <row r="47">
      <c r="A47" s="16" t="inlineStr"/>
      <c r="B47" s="16" t="inlineStr"/>
      <c r="C47" s="17" t="inlineStr"/>
      <c r="D47" s="17" t="inlineStr"/>
      <c r="E47" s="16" t="inlineStr"/>
      <c r="F47" s="16" t="inlineStr"/>
      <c r="G47" s="16" t="inlineStr"/>
      <c r="H47" s="16" t="inlineStr"/>
      <c r="I47" s="16" t="inlineStr"/>
      <c r="J47" s="16" t="inlineStr">
        <is>
          <t>Open</t>
        </is>
      </c>
      <c r="K47" s="16" t="inlineStr">
        <is>
          <t>Medium</t>
        </is>
      </c>
      <c r="L47" s="16" t="inlineStr">
        <is>
          <t>Medium</t>
        </is>
      </c>
      <c r="M47" s="16" t="inlineStr">
        <is>
          <t>Possible</t>
        </is>
      </c>
      <c r="N47" s="21">
        <f>IF(OR(L47="",M47=""),"",IF(L47="Critical",4,IF(L47="High",3,IF(L47="Medium",2,1)))*IF(M47="Almost Certain",5,IF(M47="Likely",4,IF(M47="Possible",3,IF(M47="Unlikely",2,1)))))</f>
        <v/>
      </c>
      <c r="O47" s="20" t="inlineStr"/>
      <c r="P47" s="20" t="inlineStr"/>
      <c r="Q47" s="20" t="inlineStr"/>
      <c r="R47" s="21">
        <f>IF(O47="","",IF(Q47&lt;&gt;"",Q47-O47,TODAY()-O47))</f>
        <v/>
      </c>
      <c r="S47" s="17">
        <f>IF(R47="","",IF(R47&lt;=30,"0-30 Days",IF(R47&lt;=60,"31-60 Days",IF(R47&lt;=90,"61-90 Days",IF(R47&lt;=180,"91-180 Days","181+ Days")))))</f>
        <v/>
      </c>
      <c r="T47" s="16" t="inlineStr">
        <is>
          <t>Medium</t>
        </is>
      </c>
      <c r="U47" s="16" t="inlineStr">
        <is>
          <t>Pending</t>
        </is>
      </c>
      <c r="V47" s="16" t="inlineStr"/>
      <c r="W47" s="16" t="inlineStr"/>
      <c r="X47" s="16" t="inlineStr"/>
    </row>
    <row r="48">
      <c r="A48" s="16" t="inlineStr"/>
      <c r="B48" s="16" t="inlineStr"/>
      <c r="C48" s="17" t="inlineStr"/>
      <c r="D48" s="17" t="inlineStr"/>
      <c r="E48" s="16" t="inlineStr"/>
      <c r="F48" s="16" t="inlineStr"/>
      <c r="G48" s="16" t="inlineStr"/>
      <c r="H48" s="16" t="inlineStr"/>
      <c r="I48" s="16" t="inlineStr"/>
      <c r="J48" s="16" t="inlineStr">
        <is>
          <t>Open</t>
        </is>
      </c>
      <c r="K48" s="16" t="inlineStr">
        <is>
          <t>Medium</t>
        </is>
      </c>
      <c r="L48" s="16" t="inlineStr">
        <is>
          <t>Medium</t>
        </is>
      </c>
      <c r="M48" s="16" t="inlineStr">
        <is>
          <t>Possible</t>
        </is>
      </c>
      <c r="N48" s="21">
        <f>IF(OR(L48="",M48=""),"",IF(L48="Critical",4,IF(L48="High",3,IF(L48="Medium",2,1)))*IF(M48="Almost Certain",5,IF(M48="Likely",4,IF(M48="Possible",3,IF(M48="Unlikely",2,1)))))</f>
        <v/>
      </c>
      <c r="O48" s="20" t="inlineStr"/>
      <c r="P48" s="20" t="inlineStr"/>
      <c r="Q48" s="20" t="inlineStr"/>
      <c r="R48" s="21">
        <f>IF(O48="","",IF(Q48&lt;&gt;"",Q48-O48,TODAY()-O48))</f>
        <v/>
      </c>
      <c r="S48" s="17">
        <f>IF(R48="","",IF(R48&lt;=30,"0-30 Days",IF(R48&lt;=60,"31-60 Days",IF(R48&lt;=90,"61-90 Days",IF(R48&lt;=180,"91-180 Days","181+ Days")))))</f>
        <v/>
      </c>
      <c r="T48" s="16" t="inlineStr">
        <is>
          <t>Medium</t>
        </is>
      </c>
      <c r="U48" s="16" t="inlineStr">
        <is>
          <t>Pending</t>
        </is>
      </c>
      <c r="V48" s="16" t="inlineStr"/>
      <c r="W48" s="16" t="inlineStr"/>
      <c r="X48" s="16" t="inlineStr"/>
    </row>
    <row r="49">
      <c r="A49" s="16" t="inlineStr"/>
      <c r="B49" s="16" t="inlineStr"/>
      <c r="C49" s="17" t="inlineStr"/>
      <c r="D49" s="17" t="inlineStr"/>
      <c r="E49" s="16" t="inlineStr"/>
      <c r="F49" s="16" t="inlineStr"/>
      <c r="G49" s="16" t="inlineStr"/>
      <c r="H49" s="16" t="inlineStr"/>
      <c r="I49" s="16" t="inlineStr"/>
      <c r="J49" s="16" t="inlineStr">
        <is>
          <t>Open</t>
        </is>
      </c>
      <c r="K49" s="16" t="inlineStr">
        <is>
          <t>Medium</t>
        </is>
      </c>
      <c r="L49" s="16" t="inlineStr">
        <is>
          <t>Medium</t>
        </is>
      </c>
      <c r="M49" s="16" t="inlineStr">
        <is>
          <t>Possible</t>
        </is>
      </c>
      <c r="N49" s="21">
        <f>IF(OR(L49="",M49=""),"",IF(L49="Critical",4,IF(L49="High",3,IF(L49="Medium",2,1)))*IF(M49="Almost Certain",5,IF(M49="Likely",4,IF(M49="Possible",3,IF(M49="Unlikely",2,1)))))</f>
        <v/>
      </c>
      <c r="O49" s="20" t="inlineStr"/>
      <c r="P49" s="20" t="inlineStr"/>
      <c r="Q49" s="20" t="inlineStr"/>
      <c r="R49" s="21">
        <f>IF(O49="","",IF(Q49&lt;&gt;"",Q49-O49,TODAY()-O49))</f>
        <v/>
      </c>
      <c r="S49" s="17">
        <f>IF(R49="","",IF(R49&lt;=30,"0-30 Days",IF(R49&lt;=60,"31-60 Days",IF(R49&lt;=90,"61-90 Days",IF(R49&lt;=180,"91-180 Days","181+ Days")))))</f>
        <v/>
      </c>
      <c r="T49" s="16" t="inlineStr">
        <is>
          <t>Medium</t>
        </is>
      </c>
      <c r="U49" s="16" t="inlineStr">
        <is>
          <t>Pending</t>
        </is>
      </c>
      <c r="V49" s="16" t="inlineStr"/>
      <c r="W49" s="16" t="inlineStr"/>
      <c r="X49" s="16" t="inlineStr"/>
    </row>
    <row r="50">
      <c r="A50" s="16" t="inlineStr"/>
      <c r="B50" s="16" t="inlineStr"/>
      <c r="C50" s="17" t="inlineStr"/>
      <c r="D50" s="17" t="inlineStr"/>
      <c r="E50" s="16" t="inlineStr"/>
      <c r="F50" s="16" t="inlineStr"/>
      <c r="G50" s="16" t="inlineStr"/>
      <c r="H50" s="16" t="inlineStr"/>
      <c r="I50" s="16" t="inlineStr"/>
      <c r="J50" s="16" t="inlineStr">
        <is>
          <t>Open</t>
        </is>
      </c>
      <c r="K50" s="16" t="inlineStr">
        <is>
          <t>Medium</t>
        </is>
      </c>
      <c r="L50" s="16" t="inlineStr">
        <is>
          <t>Medium</t>
        </is>
      </c>
      <c r="M50" s="16" t="inlineStr">
        <is>
          <t>Possible</t>
        </is>
      </c>
      <c r="N50" s="21">
        <f>IF(OR(L50="",M50=""),"",IF(L50="Critical",4,IF(L50="High",3,IF(L50="Medium",2,1)))*IF(M50="Almost Certain",5,IF(M50="Likely",4,IF(M50="Possible",3,IF(M50="Unlikely",2,1)))))</f>
        <v/>
      </c>
      <c r="O50" s="20" t="inlineStr"/>
      <c r="P50" s="20" t="inlineStr"/>
      <c r="Q50" s="20" t="inlineStr"/>
      <c r="R50" s="21">
        <f>IF(O50="","",IF(Q50&lt;&gt;"",Q50-O50,TODAY()-O50))</f>
        <v/>
      </c>
      <c r="S50" s="17">
        <f>IF(R50="","",IF(R50&lt;=30,"0-30 Days",IF(R50&lt;=60,"31-60 Days",IF(R50&lt;=90,"61-90 Days",IF(R50&lt;=180,"91-180 Days","181+ Days")))))</f>
        <v/>
      </c>
      <c r="T50" s="16" t="inlineStr">
        <is>
          <t>Medium</t>
        </is>
      </c>
      <c r="U50" s="16" t="inlineStr">
        <is>
          <t>Pending</t>
        </is>
      </c>
      <c r="V50" s="16" t="inlineStr"/>
      <c r="W50" s="16" t="inlineStr"/>
      <c r="X50" s="16" t="inlineStr"/>
    </row>
    <row r="51">
      <c r="A51" s="16" t="inlineStr"/>
      <c r="B51" s="16" t="inlineStr"/>
      <c r="C51" s="17" t="inlineStr"/>
      <c r="D51" s="17" t="inlineStr"/>
      <c r="E51" s="16" t="inlineStr"/>
      <c r="F51" s="16" t="inlineStr"/>
      <c r="G51" s="16" t="inlineStr"/>
      <c r="H51" s="16" t="inlineStr"/>
      <c r="I51" s="16" t="inlineStr"/>
      <c r="J51" s="16" t="inlineStr">
        <is>
          <t>Open</t>
        </is>
      </c>
      <c r="K51" s="16" t="inlineStr">
        <is>
          <t>Medium</t>
        </is>
      </c>
      <c r="L51" s="16" t="inlineStr">
        <is>
          <t>Medium</t>
        </is>
      </c>
      <c r="M51" s="16" t="inlineStr">
        <is>
          <t>Possible</t>
        </is>
      </c>
      <c r="N51" s="21">
        <f>IF(OR(L51="",M51=""),"",IF(L51="Critical",4,IF(L51="High",3,IF(L51="Medium",2,1)))*IF(M51="Almost Certain",5,IF(M51="Likely",4,IF(M51="Possible",3,IF(M51="Unlikely",2,1)))))</f>
        <v/>
      </c>
      <c r="O51" s="20" t="inlineStr"/>
      <c r="P51" s="20" t="inlineStr"/>
      <c r="Q51" s="20" t="inlineStr"/>
      <c r="R51" s="21">
        <f>IF(O51="","",IF(Q51&lt;&gt;"",Q51-O51,TODAY()-O51))</f>
        <v/>
      </c>
      <c r="S51" s="17">
        <f>IF(R51="","",IF(R51&lt;=30,"0-30 Days",IF(R51&lt;=60,"31-60 Days",IF(R51&lt;=90,"61-90 Days",IF(R51&lt;=180,"91-180 Days","181+ Days")))))</f>
        <v/>
      </c>
      <c r="T51" s="16" t="inlineStr">
        <is>
          <t>Medium</t>
        </is>
      </c>
      <c r="U51" s="16" t="inlineStr">
        <is>
          <t>Pending</t>
        </is>
      </c>
      <c r="V51" s="16" t="inlineStr"/>
      <c r="W51" s="16" t="inlineStr"/>
      <c r="X51" s="16" t="inlineStr"/>
    </row>
    <row r="52">
      <c r="A52" s="16" t="inlineStr"/>
      <c r="B52" s="16" t="inlineStr"/>
      <c r="C52" s="17" t="inlineStr"/>
      <c r="D52" s="17" t="inlineStr"/>
      <c r="E52" s="16" t="inlineStr"/>
      <c r="F52" s="16" t="inlineStr"/>
      <c r="G52" s="16" t="inlineStr"/>
      <c r="H52" s="16" t="inlineStr"/>
      <c r="I52" s="16" t="inlineStr"/>
      <c r="J52" s="16" t="inlineStr">
        <is>
          <t>Open</t>
        </is>
      </c>
      <c r="K52" s="16" t="inlineStr">
        <is>
          <t>Medium</t>
        </is>
      </c>
      <c r="L52" s="16" t="inlineStr">
        <is>
          <t>Medium</t>
        </is>
      </c>
      <c r="M52" s="16" t="inlineStr">
        <is>
          <t>Possible</t>
        </is>
      </c>
      <c r="N52" s="21">
        <f>IF(OR(L52="",M52=""),"",IF(L52="Critical",4,IF(L52="High",3,IF(L52="Medium",2,1)))*IF(M52="Almost Certain",5,IF(M52="Likely",4,IF(M52="Possible",3,IF(M52="Unlikely",2,1)))))</f>
        <v/>
      </c>
      <c r="O52" s="20" t="inlineStr"/>
      <c r="P52" s="20" t="inlineStr"/>
      <c r="Q52" s="20" t="inlineStr"/>
      <c r="R52" s="21">
        <f>IF(O52="","",IF(Q52&lt;&gt;"",Q52-O52,TODAY()-O52))</f>
        <v/>
      </c>
      <c r="S52" s="17">
        <f>IF(R52="","",IF(R52&lt;=30,"0-30 Days",IF(R52&lt;=60,"31-60 Days",IF(R52&lt;=90,"61-90 Days",IF(R52&lt;=180,"91-180 Days","181+ Days")))))</f>
        <v/>
      </c>
      <c r="T52" s="16" t="inlineStr">
        <is>
          <t>Medium</t>
        </is>
      </c>
      <c r="U52" s="16" t="inlineStr">
        <is>
          <t>Pending</t>
        </is>
      </c>
      <c r="V52" s="16" t="inlineStr"/>
      <c r="W52" s="16" t="inlineStr"/>
      <c r="X52" s="16" t="inlineStr"/>
    </row>
    <row r="53">
      <c r="A53" s="16" t="inlineStr"/>
      <c r="B53" s="16" t="inlineStr"/>
      <c r="C53" s="17" t="inlineStr"/>
      <c r="D53" s="17" t="inlineStr"/>
      <c r="E53" s="16" t="inlineStr"/>
      <c r="F53" s="16" t="inlineStr"/>
      <c r="G53" s="16" t="inlineStr"/>
      <c r="H53" s="16" t="inlineStr"/>
      <c r="I53" s="16" t="inlineStr"/>
      <c r="J53" s="16" t="inlineStr">
        <is>
          <t>Open</t>
        </is>
      </c>
      <c r="K53" s="16" t="inlineStr">
        <is>
          <t>Medium</t>
        </is>
      </c>
      <c r="L53" s="16" t="inlineStr">
        <is>
          <t>Medium</t>
        </is>
      </c>
      <c r="M53" s="16" t="inlineStr">
        <is>
          <t>Possible</t>
        </is>
      </c>
      <c r="N53" s="21">
        <f>IF(OR(L53="",M53=""),"",IF(L53="Critical",4,IF(L53="High",3,IF(L53="Medium",2,1)))*IF(M53="Almost Certain",5,IF(M53="Likely",4,IF(M53="Possible",3,IF(M53="Unlikely",2,1)))))</f>
        <v/>
      </c>
      <c r="O53" s="20" t="inlineStr"/>
      <c r="P53" s="20" t="inlineStr"/>
      <c r="Q53" s="20" t="inlineStr"/>
      <c r="R53" s="21">
        <f>IF(O53="","",IF(Q53&lt;&gt;"",Q53-O53,TODAY()-O53))</f>
        <v/>
      </c>
      <c r="S53" s="17">
        <f>IF(R53="","",IF(R53&lt;=30,"0-30 Days",IF(R53&lt;=60,"31-60 Days",IF(R53&lt;=90,"61-90 Days",IF(R53&lt;=180,"91-180 Days","181+ Days")))))</f>
        <v/>
      </c>
      <c r="T53" s="16" t="inlineStr">
        <is>
          <t>Medium</t>
        </is>
      </c>
      <c r="U53" s="16" t="inlineStr">
        <is>
          <t>Pending</t>
        </is>
      </c>
      <c r="V53" s="16" t="inlineStr"/>
      <c r="W53" s="16" t="inlineStr"/>
      <c r="X53" s="16" t="inlineStr"/>
    </row>
    <row r="54">
      <c r="A54" s="16" t="inlineStr"/>
      <c r="B54" s="16" t="inlineStr"/>
      <c r="C54" s="17" t="inlineStr"/>
      <c r="D54" s="17" t="inlineStr"/>
      <c r="E54" s="16" t="inlineStr"/>
      <c r="F54" s="16" t="inlineStr"/>
      <c r="G54" s="16" t="inlineStr"/>
      <c r="H54" s="16" t="inlineStr"/>
      <c r="I54" s="16" t="inlineStr"/>
      <c r="J54" s="16" t="inlineStr">
        <is>
          <t>Open</t>
        </is>
      </c>
      <c r="K54" s="16" t="inlineStr">
        <is>
          <t>Medium</t>
        </is>
      </c>
      <c r="L54" s="16" t="inlineStr">
        <is>
          <t>Medium</t>
        </is>
      </c>
      <c r="M54" s="16" t="inlineStr">
        <is>
          <t>Possible</t>
        </is>
      </c>
      <c r="N54" s="21">
        <f>IF(OR(L54="",M54=""),"",IF(L54="Critical",4,IF(L54="High",3,IF(L54="Medium",2,1)))*IF(M54="Almost Certain",5,IF(M54="Likely",4,IF(M54="Possible",3,IF(M54="Unlikely",2,1)))))</f>
        <v/>
      </c>
      <c r="O54" s="20" t="inlineStr"/>
      <c r="P54" s="20" t="inlineStr"/>
      <c r="Q54" s="20" t="inlineStr"/>
      <c r="R54" s="21">
        <f>IF(O54="","",IF(Q54&lt;&gt;"",Q54-O54,TODAY()-O54))</f>
        <v/>
      </c>
      <c r="S54" s="17">
        <f>IF(R54="","",IF(R54&lt;=30,"0-30 Days",IF(R54&lt;=60,"31-60 Days",IF(R54&lt;=90,"61-90 Days",IF(R54&lt;=180,"91-180 Days","181+ Days")))))</f>
        <v/>
      </c>
      <c r="T54" s="16" t="inlineStr">
        <is>
          <t>Medium</t>
        </is>
      </c>
      <c r="U54" s="16" t="inlineStr">
        <is>
          <t>Pending</t>
        </is>
      </c>
      <c r="V54" s="16" t="inlineStr"/>
      <c r="W54" s="16" t="inlineStr"/>
      <c r="X54" s="16" t="inlineStr"/>
    </row>
    <row r="55">
      <c r="A55" s="16" t="inlineStr"/>
      <c r="B55" s="16" t="inlineStr"/>
      <c r="C55" s="17" t="inlineStr"/>
      <c r="D55" s="17" t="inlineStr"/>
      <c r="E55" s="16" t="inlineStr"/>
      <c r="F55" s="16" t="inlineStr"/>
      <c r="G55" s="16" t="inlineStr"/>
      <c r="H55" s="16" t="inlineStr"/>
      <c r="I55" s="16" t="inlineStr"/>
      <c r="J55" s="16" t="inlineStr">
        <is>
          <t>Open</t>
        </is>
      </c>
      <c r="K55" s="16" t="inlineStr">
        <is>
          <t>Medium</t>
        </is>
      </c>
      <c r="L55" s="16" t="inlineStr">
        <is>
          <t>Medium</t>
        </is>
      </c>
      <c r="M55" s="16" t="inlineStr">
        <is>
          <t>Possible</t>
        </is>
      </c>
      <c r="N55" s="21">
        <f>IF(OR(L55="",M55=""),"",IF(L55="Critical",4,IF(L55="High",3,IF(L55="Medium",2,1)))*IF(M55="Almost Certain",5,IF(M55="Likely",4,IF(M55="Possible",3,IF(M55="Unlikely",2,1)))))</f>
        <v/>
      </c>
      <c r="O55" s="20" t="inlineStr"/>
      <c r="P55" s="20" t="inlineStr"/>
      <c r="Q55" s="20" t="inlineStr"/>
      <c r="R55" s="21">
        <f>IF(O55="","",IF(Q55&lt;&gt;"",Q55-O55,TODAY()-O55))</f>
        <v/>
      </c>
      <c r="S55" s="17">
        <f>IF(R55="","",IF(R55&lt;=30,"0-30 Days",IF(R55&lt;=60,"31-60 Days",IF(R55&lt;=90,"61-90 Days",IF(R55&lt;=180,"91-180 Days","181+ Days")))))</f>
        <v/>
      </c>
      <c r="T55" s="16" t="inlineStr">
        <is>
          <t>Medium</t>
        </is>
      </c>
      <c r="U55" s="16" t="inlineStr">
        <is>
          <t>Pending</t>
        </is>
      </c>
      <c r="V55" s="16" t="inlineStr"/>
      <c r="W55" s="16" t="inlineStr"/>
      <c r="X55" s="16" t="inlineStr"/>
    </row>
    <row r="56">
      <c r="A56" s="16" t="inlineStr"/>
      <c r="B56" s="16" t="inlineStr"/>
      <c r="C56" s="17" t="inlineStr"/>
      <c r="D56" s="17" t="inlineStr"/>
      <c r="E56" s="16" t="inlineStr"/>
      <c r="F56" s="16" t="inlineStr"/>
      <c r="G56" s="16" t="inlineStr"/>
      <c r="H56" s="16" t="inlineStr"/>
      <c r="I56" s="16" t="inlineStr"/>
      <c r="J56" s="16" t="inlineStr">
        <is>
          <t>Open</t>
        </is>
      </c>
      <c r="K56" s="16" t="inlineStr">
        <is>
          <t>Medium</t>
        </is>
      </c>
      <c r="L56" s="16" t="inlineStr">
        <is>
          <t>Medium</t>
        </is>
      </c>
      <c r="M56" s="16" t="inlineStr">
        <is>
          <t>Possible</t>
        </is>
      </c>
      <c r="N56" s="21">
        <f>IF(OR(L56="",M56=""),"",IF(L56="Critical",4,IF(L56="High",3,IF(L56="Medium",2,1)))*IF(M56="Almost Certain",5,IF(M56="Likely",4,IF(M56="Possible",3,IF(M56="Unlikely",2,1)))))</f>
        <v/>
      </c>
      <c r="O56" s="20" t="inlineStr"/>
      <c r="P56" s="20" t="inlineStr"/>
      <c r="Q56" s="20" t="inlineStr"/>
      <c r="R56" s="21">
        <f>IF(O56="","",IF(Q56&lt;&gt;"",Q56-O56,TODAY()-O56))</f>
        <v/>
      </c>
      <c r="S56" s="17">
        <f>IF(R56="","",IF(R56&lt;=30,"0-30 Days",IF(R56&lt;=60,"31-60 Days",IF(R56&lt;=90,"61-90 Days",IF(R56&lt;=180,"91-180 Days","181+ Days")))))</f>
        <v/>
      </c>
      <c r="T56" s="16" t="inlineStr">
        <is>
          <t>Medium</t>
        </is>
      </c>
      <c r="U56" s="16" t="inlineStr">
        <is>
          <t>Pending</t>
        </is>
      </c>
      <c r="V56" s="16" t="inlineStr"/>
      <c r="W56" s="16" t="inlineStr"/>
      <c r="X56" s="16" t="inlineStr"/>
    </row>
    <row r="57">
      <c r="A57" s="16" t="inlineStr"/>
      <c r="B57" s="16" t="inlineStr"/>
      <c r="C57" s="17" t="inlineStr"/>
      <c r="D57" s="17" t="inlineStr"/>
      <c r="E57" s="16" t="inlineStr"/>
      <c r="F57" s="16" t="inlineStr"/>
      <c r="G57" s="16" t="inlineStr"/>
      <c r="H57" s="16" t="inlineStr"/>
      <c r="I57" s="16" t="inlineStr"/>
      <c r="J57" s="16" t="inlineStr">
        <is>
          <t>Open</t>
        </is>
      </c>
      <c r="K57" s="16" t="inlineStr">
        <is>
          <t>Medium</t>
        </is>
      </c>
      <c r="L57" s="16" t="inlineStr">
        <is>
          <t>Medium</t>
        </is>
      </c>
      <c r="M57" s="16" t="inlineStr">
        <is>
          <t>Possible</t>
        </is>
      </c>
      <c r="N57" s="21">
        <f>IF(OR(L57="",M57=""),"",IF(L57="Critical",4,IF(L57="High",3,IF(L57="Medium",2,1)))*IF(M57="Almost Certain",5,IF(M57="Likely",4,IF(M57="Possible",3,IF(M57="Unlikely",2,1)))))</f>
        <v/>
      </c>
      <c r="O57" s="20" t="inlineStr"/>
      <c r="P57" s="20" t="inlineStr"/>
      <c r="Q57" s="20" t="inlineStr"/>
      <c r="R57" s="21">
        <f>IF(O57="","",IF(Q57&lt;&gt;"",Q57-O57,TODAY()-O57))</f>
        <v/>
      </c>
      <c r="S57" s="17">
        <f>IF(R57="","",IF(R57&lt;=30,"0-30 Days",IF(R57&lt;=60,"31-60 Days",IF(R57&lt;=90,"61-90 Days",IF(R57&lt;=180,"91-180 Days","181+ Days")))))</f>
        <v/>
      </c>
      <c r="T57" s="16" t="inlineStr">
        <is>
          <t>Medium</t>
        </is>
      </c>
      <c r="U57" s="16" t="inlineStr">
        <is>
          <t>Pending</t>
        </is>
      </c>
      <c r="V57" s="16" t="inlineStr"/>
      <c r="W57" s="16" t="inlineStr"/>
      <c r="X57" s="16" t="inlineStr"/>
    </row>
    <row r="58">
      <c r="A58" s="16" t="inlineStr"/>
      <c r="B58" s="16" t="inlineStr"/>
      <c r="C58" s="17" t="inlineStr"/>
      <c r="D58" s="17" t="inlineStr"/>
      <c r="E58" s="16" t="inlineStr"/>
      <c r="F58" s="16" t="inlineStr"/>
      <c r="G58" s="16" t="inlineStr"/>
      <c r="H58" s="16" t="inlineStr"/>
      <c r="I58" s="16" t="inlineStr"/>
      <c r="J58" s="16" t="inlineStr">
        <is>
          <t>Open</t>
        </is>
      </c>
      <c r="K58" s="16" t="inlineStr">
        <is>
          <t>Medium</t>
        </is>
      </c>
      <c r="L58" s="16" t="inlineStr">
        <is>
          <t>Medium</t>
        </is>
      </c>
      <c r="M58" s="16" t="inlineStr">
        <is>
          <t>Possible</t>
        </is>
      </c>
      <c r="N58" s="21">
        <f>IF(OR(L58="",M58=""),"",IF(L58="Critical",4,IF(L58="High",3,IF(L58="Medium",2,1)))*IF(M58="Almost Certain",5,IF(M58="Likely",4,IF(M58="Possible",3,IF(M58="Unlikely",2,1)))))</f>
        <v/>
      </c>
      <c r="O58" s="20" t="inlineStr"/>
      <c r="P58" s="20" t="inlineStr"/>
      <c r="Q58" s="20" t="inlineStr"/>
      <c r="R58" s="21">
        <f>IF(O58="","",IF(Q58&lt;&gt;"",Q58-O58,TODAY()-O58))</f>
        <v/>
      </c>
      <c r="S58" s="17">
        <f>IF(R58="","",IF(R58&lt;=30,"0-30 Days",IF(R58&lt;=60,"31-60 Days",IF(R58&lt;=90,"61-90 Days",IF(R58&lt;=180,"91-180 Days","181+ Days")))))</f>
        <v/>
      </c>
      <c r="T58" s="16" t="inlineStr">
        <is>
          <t>Medium</t>
        </is>
      </c>
      <c r="U58" s="16" t="inlineStr">
        <is>
          <t>Pending</t>
        </is>
      </c>
      <c r="V58" s="16" t="inlineStr"/>
      <c r="W58" s="16" t="inlineStr"/>
      <c r="X58" s="16" t="inlineStr"/>
    </row>
    <row r="59">
      <c r="A59" s="16" t="inlineStr"/>
      <c r="B59" s="16" t="inlineStr"/>
      <c r="C59" s="17" t="inlineStr"/>
      <c r="D59" s="17" t="inlineStr"/>
      <c r="E59" s="16" t="inlineStr"/>
      <c r="F59" s="16" t="inlineStr"/>
      <c r="G59" s="16" t="inlineStr"/>
      <c r="H59" s="16" t="inlineStr"/>
      <c r="I59" s="16" t="inlineStr"/>
      <c r="J59" s="16" t="inlineStr">
        <is>
          <t>Open</t>
        </is>
      </c>
      <c r="K59" s="16" t="inlineStr">
        <is>
          <t>Medium</t>
        </is>
      </c>
      <c r="L59" s="16" t="inlineStr">
        <is>
          <t>Medium</t>
        </is>
      </c>
      <c r="M59" s="16" t="inlineStr">
        <is>
          <t>Possible</t>
        </is>
      </c>
      <c r="N59" s="21">
        <f>IF(OR(L59="",M59=""),"",IF(L59="Critical",4,IF(L59="High",3,IF(L59="Medium",2,1)))*IF(M59="Almost Certain",5,IF(M59="Likely",4,IF(M59="Possible",3,IF(M59="Unlikely",2,1)))))</f>
        <v/>
      </c>
      <c r="O59" s="20" t="inlineStr"/>
      <c r="P59" s="20" t="inlineStr"/>
      <c r="Q59" s="20" t="inlineStr"/>
      <c r="R59" s="21">
        <f>IF(O59="","",IF(Q59&lt;&gt;"",Q59-O59,TODAY()-O59))</f>
        <v/>
      </c>
      <c r="S59" s="17">
        <f>IF(R59="","",IF(R59&lt;=30,"0-30 Days",IF(R59&lt;=60,"31-60 Days",IF(R59&lt;=90,"61-90 Days",IF(R59&lt;=180,"91-180 Days","181+ Days")))))</f>
        <v/>
      </c>
      <c r="T59" s="16" t="inlineStr">
        <is>
          <t>Medium</t>
        </is>
      </c>
      <c r="U59" s="16" t="inlineStr">
        <is>
          <t>Pending</t>
        </is>
      </c>
      <c r="V59" s="16" t="inlineStr"/>
      <c r="W59" s="16" t="inlineStr"/>
      <c r="X59" s="16" t="inlineStr"/>
    </row>
    <row r="60">
      <c r="A60" s="16" t="inlineStr"/>
      <c r="B60" s="16" t="inlineStr"/>
      <c r="C60" s="17" t="inlineStr"/>
      <c r="D60" s="17" t="inlineStr"/>
      <c r="E60" s="16" t="inlineStr"/>
      <c r="F60" s="16" t="inlineStr"/>
      <c r="G60" s="16" t="inlineStr"/>
      <c r="H60" s="16" t="inlineStr"/>
      <c r="I60" s="16" t="inlineStr"/>
      <c r="J60" s="16" t="inlineStr">
        <is>
          <t>Open</t>
        </is>
      </c>
      <c r="K60" s="16" t="inlineStr">
        <is>
          <t>Medium</t>
        </is>
      </c>
      <c r="L60" s="16" t="inlineStr">
        <is>
          <t>Medium</t>
        </is>
      </c>
      <c r="M60" s="16" t="inlineStr">
        <is>
          <t>Possible</t>
        </is>
      </c>
      <c r="N60" s="21">
        <f>IF(OR(L60="",M60=""),"",IF(L60="Critical",4,IF(L60="High",3,IF(L60="Medium",2,1)))*IF(M60="Almost Certain",5,IF(M60="Likely",4,IF(M60="Possible",3,IF(M60="Unlikely",2,1)))))</f>
        <v/>
      </c>
      <c r="O60" s="20" t="inlineStr"/>
      <c r="P60" s="20" t="inlineStr"/>
      <c r="Q60" s="20" t="inlineStr"/>
      <c r="R60" s="21">
        <f>IF(O60="","",IF(Q60&lt;&gt;"",Q60-O60,TODAY()-O60))</f>
        <v/>
      </c>
      <c r="S60" s="17">
        <f>IF(R60="","",IF(R60&lt;=30,"0-30 Days",IF(R60&lt;=60,"31-60 Days",IF(R60&lt;=90,"61-90 Days",IF(R60&lt;=180,"91-180 Days","181+ Days")))))</f>
        <v/>
      </c>
      <c r="T60" s="16" t="inlineStr">
        <is>
          <t>Medium</t>
        </is>
      </c>
      <c r="U60" s="16" t="inlineStr">
        <is>
          <t>Pending</t>
        </is>
      </c>
      <c r="V60" s="16" t="inlineStr"/>
      <c r="W60" s="16" t="inlineStr"/>
      <c r="X60" s="16" t="inlineStr"/>
    </row>
    <row r="61">
      <c r="A61" s="16" t="inlineStr"/>
      <c r="B61" s="16" t="inlineStr"/>
      <c r="C61" s="17" t="inlineStr"/>
      <c r="D61" s="17" t="inlineStr"/>
      <c r="E61" s="16" t="inlineStr"/>
      <c r="F61" s="16" t="inlineStr"/>
      <c r="G61" s="16" t="inlineStr"/>
      <c r="H61" s="16" t="inlineStr"/>
      <c r="I61" s="16" t="inlineStr"/>
      <c r="J61" s="16" t="inlineStr">
        <is>
          <t>Open</t>
        </is>
      </c>
      <c r="K61" s="16" t="inlineStr">
        <is>
          <t>Medium</t>
        </is>
      </c>
      <c r="L61" s="16" t="inlineStr">
        <is>
          <t>Medium</t>
        </is>
      </c>
      <c r="M61" s="16" t="inlineStr">
        <is>
          <t>Possible</t>
        </is>
      </c>
      <c r="N61" s="21">
        <f>IF(OR(L61="",M61=""),"",IF(L61="Critical",4,IF(L61="High",3,IF(L61="Medium",2,1)))*IF(M61="Almost Certain",5,IF(M61="Likely",4,IF(M61="Possible",3,IF(M61="Unlikely",2,1)))))</f>
        <v/>
      </c>
      <c r="O61" s="20" t="inlineStr"/>
      <c r="P61" s="20" t="inlineStr"/>
      <c r="Q61" s="20" t="inlineStr"/>
      <c r="R61" s="21">
        <f>IF(O61="","",IF(Q61&lt;&gt;"",Q61-O61,TODAY()-O61))</f>
        <v/>
      </c>
      <c r="S61" s="17">
        <f>IF(R61="","",IF(R61&lt;=30,"0-30 Days",IF(R61&lt;=60,"31-60 Days",IF(R61&lt;=90,"61-90 Days",IF(R61&lt;=180,"91-180 Days","181+ Days")))))</f>
        <v/>
      </c>
      <c r="T61" s="16" t="inlineStr">
        <is>
          <t>Medium</t>
        </is>
      </c>
      <c r="U61" s="16" t="inlineStr">
        <is>
          <t>Pending</t>
        </is>
      </c>
      <c r="V61" s="16" t="inlineStr"/>
      <c r="W61" s="16" t="inlineStr"/>
      <c r="X61" s="16" t="inlineStr"/>
    </row>
    <row r="62">
      <c r="A62" s="16" t="inlineStr"/>
      <c r="B62" s="16" t="inlineStr"/>
      <c r="C62" s="17" t="inlineStr"/>
      <c r="D62" s="17" t="inlineStr"/>
      <c r="E62" s="16" t="inlineStr"/>
      <c r="F62" s="16" t="inlineStr"/>
      <c r="G62" s="16" t="inlineStr"/>
      <c r="H62" s="16" t="inlineStr"/>
      <c r="I62" s="16" t="inlineStr"/>
      <c r="J62" s="16" t="inlineStr">
        <is>
          <t>Open</t>
        </is>
      </c>
      <c r="K62" s="16" t="inlineStr">
        <is>
          <t>Medium</t>
        </is>
      </c>
      <c r="L62" s="16" t="inlineStr">
        <is>
          <t>Medium</t>
        </is>
      </c>
      <c r="M62" s="16" t="inlineStr">
        <is>
          <t>Possible</t>
        </is>
      </c>
      <c r="N62" s="21">
        <f>IF(OR(L62="",M62=""),"",IF(L62="Critical",4,IF(L62="High",3,IF(L62="Medium",2,1)))*IF(M62="Almost Certain",5,IF(M62="Likely",4,IF(M62="Possible",3,IF(M62="Unlikely",2,1)))))</f>
        <v/>
      </c>
      <c r="O62" s="20" t="inlineStr"/>
      <c r="P62" s="20" t="inlineStr"/>
      <c r="Q62" s="20" t="inlineStr"/>
      <c r="R62" s="21">
        <f>IF(O62="","",IF(Q62&lt;&gt;"",Q62-O62,TODAY()-O62))</f>
        <v/>
      </c>
      <c r="S62" s="17">
        <f>IF(R62="","",IF(R62&lt;=30,"0-30 Days",IF(R62&lt;=60,"31-60 Days",IF(R62&lt;=90,"61-90 Days",IF(R62&lt;=180,"91-180 Days","181+ Days")))))</f>
        <v/>
      </c>
      <c r="T62" s="16" t="inlineStr">
        <is>
          <t>Medium</t>
        </is>
      </c>
      <c r="U62" s="16" t="inlineStr">
        <is>
          <t>Pending</t>
        </is>
      </c>
      <c r="V62" s="16" t="inlineStr"/>
      <c r="W62" s="16" t="inlineStr"/>
      <c r="X62" s="16" t="inlineStr"/>
    </row>
    <row r="63">
      <c r="A63" s="16" t="inlineStr"/>
      <c r="B63" s="16" t="inlineStr"/>
      <c r="C63" s="17" t="inlineStr"/>
      <c r="D63" s="17" t="inlineStr"/>
      <c r="E63" s="16" t="inlineStr"/>
      <c r="F63" s="16" t="inlineStr"/>
      <c r="G63" s="16" t="inlineStr"/>
      <c r="H63" s="16" t="inlineStr"/>
      <c r="I63" s="16" t="inlineStr"/>
      <c r="J63" s="16" t="inlineStr">
        <is>
          <t>Open</t>
        </is>
      </c>
      <c r="K63" s="16" t="inlineStr">
        <is>
          <t>Medium</t>
        </is>
      </c>
      <c r="L63" s="16" t="inlineStr">
        <is>
          <t>Medium</t>
        </is>
      </c>
      <c r="M63" s="16" t="inlineStr">
        <is>
          <t>Possible</t>
        </is>
      </c>
      <c r="N63" s="21">
        <f>IF(OR(L63="",M63=""),"",IF(L63="Critical",4,IF(L63="High",3,IF(L63="Medium",2,1)))*IF(M63="Almost Certain",5,IF(M63="Likely",4,IF(M63="Possible",3,IF(M63="Unlikely",2,1)))))</f>
        <v/>
      </c>
      <c r="O63" s="20" t="inlineStr"/>
      <c r="P63" s="20" t="inlineStr"/>
      <c r="Q63" s="20" t="inlineStr"/>
      <c r="R63" s="21">
        <f>IF(O63="","",IF(Q63&lt;&gt;"",Q63-O63,TODAY()-O63))</f>
        <v/>
      </c>
      <c r="S63" s="17">
        <f>IF(R63="","",IF(R63&lt;=30,"0-30 Days",IF(R63&lt;=60,"31-60 Days",IF(R63&lt;=90,"61-90 Days",IF(R63&lt;=180,"91-180 Days","181+ Days")))))</f>
        <v/>
      </c>
      <c r="T63" s="16" t="inlineStr">
        <is>
          <t>Medium</t>
        </is>
      </c>
      <c r="U63" s="16" t="inlineStr">
        <is>
          <t>Pending</t>
        </is>
      </c>
      <c r="V63" s="16" t="inlineStr"/>
      <c r="W63" s="16" t="inlineStr"/>
      <c r="X63" s="16" t="inlineStr"/>
    </row>
    <row r="64">
      <c r="A64" s="16" t="inlineStr"/>
      <c r="B64" s="16" t="inlineStr"/>
      <c r="C64" s="17" t="inlineStr"/>
      <c r="D64" s="17" t="inlineStr"/>
      <c r="E64" s="16" t="inlineStr"/>
      <c r="F64" s="16" t="inlineStr"/>
      <c r="G64" s="16" t="inlineStr"/>
      <c r="H64" s="16" t="inlineStr"/>
      <c r="I64" s="16" t="inlineStr"/>
      <c r="J64" s="16" t="inlineStr">
        <is>
          <t>Open</t>
        </is>
      </c>
      <c r="K64" s="16" t="inlineStr">
        <is>
          <t>Medium</t>
        </is>
      </c>
      <c r="L64" s="16" t="inlineStr">
        <is>
          <t>Medium</t>
        </is>
      </c>
      <c r="M64" s="16" t="inlineStr">
        <is>
          <t>Possible</t>
        </is>
      </c>
      <c r="N64" s="21">
        <f>IF(OR(L64="",M64=""),"",IF(L64="Critical",4,IF(L64="High",3,IF(L64="Medium",2,1)))*IF(M64="Almost Certain",5,IF(M64="Likely",4,IF(M64="Possible",3,IF(M64="Unlikely",2,1)))))</f>
        <v/>
      </c>
      <c r="O64" s="20" t="inlineStr"/>
      <c r="P64" s="20" t="inlineStr"/>
      <c r="Q64" s="20" t="inlineStr"/>
      <c r="R64" s="21">
        <f>IF(O64="","",IF(Q64&lt;&gt;"",Q64-O64,TODAY()-O64))</f>
        <v/>
      </c>
      <c r="S64" s="17">
        <f>IF(R64="","",IF(R64&lt;=30,"0-30 Days",IF(R64&lt;=60,"31-60 Days",IF(R64&lt;=90,"61-90 Days",IF(R64&lt;=180,"91-180 Days","181+ Days")))))</f>
        <v/>
      </c>
      <c r="T64" s="16" t="inlineStr">
        <is>
          <t>Medium</t>
        </is>
      </c>
      <c r="U64" s="16" t="inlineStr">
        <is>
          <t>Pending</t>
        </is>
      </c>
      <c r="V64" s="16" t="inlineStr"/>
      <c r="W64" s="16" t="inlineStr"/>
      <c r="X64" s="16" t="inlineStr"/>
    </row>
    <row r="65">
      <c r="A65" s="16" t="inlineStr"/>
      <c r="B65" s="16" t="inlineStr"/>
      <c r="C65" s="17" t="inlineStr"/>
      <c r="D65" s="17" t="inlineStr"/>
      <c r="E65" s="16" t="inlineStr"/>
      <c r="F65" s="16" t="inlineStr"/>
      <c r="G65" s="16" t="inlineStr"/>
      <c r="H65" s="16" t="inlineStr"/>
      <c r="I65" s="16" t="inlineStr"/>
      <c r="J65" s="16" t="inlineStr">
        <is>
          <t>Open</t>
        </is>
      </c>
      <c r="K65" s="16" t="inlineStr">
        <is>
          <t>Medium</t>
        </is>
      </c>
      <c r="L65" s="16" t="inlineStr">
        <is>
          <t>Medium</t>
        </is>
      </c>
      <c r="M65" s="16" t="inlineStr">
        <is>
          <t>Possible</t>
        </is>
      </c>
      <c r="N65" s="21">
        <f>IF(OR(L65="",M65=""),"",IF(L65="Critical",4,IF(L65="High",3,IF(L65="Medium",2,1)))*IF(M65="Almost Certain",5,IF(M65="Likely",4,IF(M65="Possible",3,IF(M65="Unlikely",2,1)))))</f>
        <v/>
      </c>
      <c r="O65" s="20" t="inlineStr"/>
      <c r="P65" s="20" t="inlineStr"/>
      <c r="Q65" s="20" t="inlineStr"/>
      <c r="R65" s="21">
        <f>IF(O65="","",IF(Q65&lt;&gt;"",Q65-O65,TODAY()-O65))</f>
        <v/>
      </c>
      <c r="S65" s="17">
        <f>IF(R65="","",IF(R65&lt;=30,"0-30 Days",IF(R65&lt;=60,"31-60 Days",IF(R65&lt;=90,"61-90 Days",IF(R65&lt;=180,"91-180 Days","181+ Days")))))</f>
        <v/>
      </c>
      <c r="T65" s="16" t="inlineStr">
        <is>
          <t>Medium</t>
        </is>
      </c>
      <c r="U65" s="16" t="inlineStr">
        <is>
          <t>Pending</t>
        </is>
      </c>
      <c r="V65" s="16" t="inlineStr"/>
      <c r="W65" s="16" t="inlineStr"/>
      <c r="X65" s="16" t="inlineStr"/>
    </row>
    <row r="66">
      <c r="A66" s="16" t="inlineStr"/>
      <c r="B66" s="16" t="inlineStr"/>
      <c r="C66" s="17" t="inlineStr"/>
      <c r="D66" s="17" t="inlineStr"/>
      <c r="E66" s="16" t="inlineStr"/>
      <c r="F66" s="16" t="inlineStr"/>
      <c r="G66" s="16" t="inlineStr"/>
      <c r="H66" s="16" t="inlineStr"/>
      <c r="I66" s="16" t="inlineStr"/>
      <c r="J66" s="16" t="inlineStr">
        <is>
          <t>Open</t>
        </is>
      </c>
      <c r="K66" s="16" t="inlineStr">
        <is>
          <t>Medium</t>
        </is>
      </c>
      <c r="L66" s="16" t="inlineStr">
        <is>
          <t>Medium</t>
        </is>
      </c>
      <c r="M66" s="16" t="inlineStr">
        <is>
          <t>Possible</t>
        </is>
      </c>
      <c r="N66" s="21">
        <f>IF(OR(L66="",M66=""),"",IF(L66="Critical",4,IF(L66="High",3,IF(L66="Medium",2,1)))*IF(M66="Almost Certain",5,IF(M66="Likely",4,IF(M66="Possible",3,IF(M66="Unlikely",2,1)))))</f>
        <v/>
      </c>
      <c r="O66" s="20" t="inlineStr"/>
      <c r="P66" s="20" t="inlineStr"/>
      <c r="Q66" s="20" t="inlineStr"/>
      <c r="R66" s="21">
        <f>IF(O66="","",IF(Q66&lt;&gt;"",Q66-O66,TODAY()-O66))</f>
        <v/>
      </c>
      <c r="S66" s="17">
        <f>IF(R66="","",IF(R66&lt;=30,"0-30 Days",IF(R66&lt;=60,"31-60 Days",IF(R66&lt;=90,"61-90 Days",IF(R66&lt;=180,"91-180 Days","181+ Days")))))</f>
        <v/>
      </c>
      <c r="T66" s="16" t="inlineStr">
        <is>
          <t>Medium</t>
        </is>
      </c>
      <c r="U66" s="16" t="inlineStr">
        <is>
          <t>Pending</t>
        </is>
      </c>
      <c r="V66" s="16" t="inlineStr"/>
      <c r="W66" s="16" t="inlineStr"/>
      <c r="X66" s="16" t="inlineStr"/>
    </row>
    <row r="67">
      <c r="A67" s="16" t="inlineStr"/>
      <c r="B67" s="16" t="inlineStr"/>
      <c r="C67" s="17" t="inlineStr"/>
      <c r="D67" s="17" t="inlineStr"/>
      <c r="E67" s="16" t="inlineStr"/>
      <c r="F67" s="16" t="inlineStr"/>
      <c r="G67" s="16" t="inlineStr"/>
      <c r="H67" s="16" t="inlineStr"/>
      <c r="I67" s="16" t="inlineStr"/>
      <c r="J67" s="16" t="inlineStr">
        <is>
          <t>Open</t>
        </is>
      </c>
      <c r="K67" s="16" t="inlineStr">
        <is>
          <t>Medium</t>
        </is>
      </c>
      <c r="L67" s="16" t="inlineStr">
        <is>
          <t>Medium</t>
        </is>
      </c>
      <c r="M67" s="16" t="inlineStr">
        <is>
          <t>Possible</t>
        </is>
      </c>
      <c r="N67" s="21">
        <f>IF(OR(L67="",M67=""),"",IF(L67="Critical",4,IF(L67="High",3,IF(L67="Medium",2,1)))*IF(M67="Almost Certain",5,IF(M67="Likely",4,IF(M67="Possible",3,IF(M67="Unlikely",2,1)))))</f>
        <v/>
      </c>
      <c r="O67" s="20" t="inlineStr"/>
      <c r="P67" s="20" t="inlineStr"/>
      <c r="Q67" s="20" t="inlineStr"/>
      <c r="R67" s="21">
        <f>IF(O67="","",IF(Q67&lt;&gt;"",Q67-O67,TODAY()-O67))</f>
        <v/>
      </c>
      <c r="S67" s="17">
        <f>IF(R67="","",IF(R67&lt;=30,"0-30 Days",IF(R67&lt;=60,"31-60 Days",IF(R67&lt;=90,"61-90 Days",IF(R67&lt;=180,"91-180 Days","181+ Days")))))</f>
        <v/>
      </c>
      <c r="T67" s="16" t="inlineStr">
        <is>
          <t>Medium</t>
        </is>
      </c>
      <c r="U67" s="16" t="inlineStr">
        <is>
          <t>Pending</t>
        </is>
      </c>
      <c r="V67" s="16" t="inlineStr"/>
      <c r="W67" s="16" t="inlineStr"/>
      <c r="X67" s="16" t="inlineStr"/>
    </row>
    <row r="68">
      <c r="A68" s="16" t="inlineStr"/>
      <c r="B68" s="16" t="inlineStr"/>
      <c r="C68" s="17" t="inlineStr"/>
      <c r="D68" s="17" t="inlineStr"/>
      <c r="E68" s="16" t="inlineStr"/>
      <c r="F68" s="16" t="inlineStr"/>
      <c r="G68" s="16" t="inlineStr"/>
      <c r="H68" s="16" t="inlineStr"/>
      <c r="I68" s="16" t="inlineStr"/>
      <c r="J68" s="16" t="inlineStr">
        <is>
          <t>Open</t>
        </is>
      </c>
      <c r="K68" s="16" t="inlineStr">
        <is>
          <t>Medium</t>
        </is>
      </c>
      <c r="L68" s="16" t="inlineStr">
        <is>
          <t>Medium</t>
        </is>
      </c>
      <c r="M68" s="16" t="inlineStr">
        <is>
          <t>Possible</t>
        </is>
      </c>
      <c r="N68" s="21">
        <f>IF(OR(L68="",M68=""),"",IF(L68="Critical",4,IF(L68="High",3,IF(L68="Medium",2,1)))*IF(M68="Almost Certain",5,IF(M68="Likely",4,IF(M68="Possible",3,IF(M68="Unlikely",2,1)))))</f>
        <v/>
      </c>
      <c r="O68" s="20" t="inlineStr"/>
      <c r="P68" s="20" t="inlineStr"/>
      <c r="Q68" s="20" t="inlineStr"/>
      <c r="R68" s="21">
        <f>IF(O68="","",IF(Q68&lt;&gt;"",Q68-O68,TODAY()-O68))</f>
        <v/>
      </c>
      <c r="S68" s="17">
        <f>IF(R68="","",IF(R68&lt;=30,"0-30 Days",IF(R68&lt;=60,"31-60 Days",IF(R68&lt;=90,"61-90 Days",IF(R68&lt;=180,"91-180 Days","181+ Days")))))</f>
        <v/>
      </c>
      <c r="T68" s="16" t="inlineStr">
        <is>
          <t>Medium</t>
        </is>
      </c>
      <c r="U68" s="16" t="inlineStr">
        <is>
          <t>Pending</t>
        </is>
      </c>
      <c r="V68" s="16" t="inlineStr"/>
      <c r="W68" s="16" t="inlineStr"/>
      <c r="X68" s="16" t="inlineStr"/>
    </row>
    <row r="69">
      <c r="A69" s="16" t="inlineStr"/>
      <c r="B69" s="16" t="inlineStr"/>
      <c r="C69" s="17" t="inlineStr"/>
      <c r="D69" s="17" t="inlineStr"/>
      <c r="E69" s="16" t="inlineStr"/>
      <c r="F69" s="16" t="inlineStr"/>
      <c r="G69" s="16" t="inlineStr"/>
      <c r="H69" s="16" t="inlineStr"/>
      <c r="I69" s="16" t="inlineStr"/>
      <c r="J69" s="16" t="inlineStr">
        <is>
          <t>Open</t>
        </is>
      </c>
      <c r="K69" s="16" t="inlineStr">
        <is>
          <t>Medium</t>
        </is>
      </c>
      <c r="L69" s="16" t="inlineStr">
        <is>
          <t>Medium</t>
        </is>
      </c>
      <c r="M69" s="16" t="inlineStr">
        <is>
          <t>Possible</t>
        </is>
      </c>
      <c r="N69" s="21">
        <f>IF(OR(L69="",M69=""),"",IF(L69="Critical",4,IF(L69="High",3,IF(L69="Medium",2,1)))*IF(M69="Almost Certain",5,IF(M69="Likely",4,IF(M69="Possible",3,IF(M69="Unlikely",2,1)))))</f>
        <v/>
      </c>
      <c r="O69" s="20" t="inlineStr"/>
      <c r="P69" s="20" t="inlineStr"/>
      <c r="Q69" s="20" t="inlineStr"/>
      <c r="R69" s="21">
        <f>IF(O69="","",IF(Q69&lt;&gt;"",Q69-O69,TODAY()-O69))</f>
        <v/>
      </c>
      <c r="S69" s="17">
        <f>IF(R69="","",IF(R69&lt;=30,"0-30 Days",IF(R69&lt;=60,"31-60 Days",IF(R69&lt;=90,"61-90 Days",IF(R69&lt;=180,"91-180 Days","181+ Days")))))</f>
        <v/>
      </c>
      <c r="T69" s="16" t="inlineStr">
        <is>
          <t>Medium</t>
        </is>
      </c>
      <c r="U69" s="16" t="inlineStr">
        <is>
          <t>Pending</t>
        </is>
      </c>
      <c r="V69" s="16" t="inlineStr"/>
      <c r="W69" s="16" t="inlineStr"/>
      <c r="X69" s="16" t="inlineStr"/>
    </row>
    <row r="70">
      <c r="A70" s="16" t="inlineStr"/>
      <c r="B70" s="16" t="inlineStr"/>
      <c r="C70" s="17" t="inlineStr"/>
      <c r="D70" s="17" t="inlineStr"/>
      <c r="E70" s="16" t="inlineStr"/>
      <c r="F70" s="16" t="inlineStr"/>
      <c r="G70" s="16" t="inlineStr"/>
      <c r="H70" s="16" t="inlineStr"/>
      <c r="I70" s="16" t="inlineStr"/>
      <c r="J70" s="16" t="inlineStr">
        <is>
          <t>Open</t>
        </is>
      </c>
      <c r="K70" s="16" t="inlineStr">
        <is>
          <t>Medium</t>
        </is>
      </c>
      <c r="L70" s="16" t="inlineStr">
        <is>
          <t>Medium</t>
        </is>
      </c>
      <c r="M70" s="16" t="inlineStr">
        <is>
          <t>Possible</t>
        </is>
      </c>
      <c r="N70" s="21">
        <f>IF(OR(L70="",M70=""),"",IF(L70="Critical",4,IF(L70="High",3,IF(L70="Medium",2,1)))*IF(M70="Almost Certain",5,IF(M70="Likely",4,IF(M70="Possible",3,IF(M70="Unlikely",2,1)))))</f>
        <v/>
      </c>
      <c r="O70" s="20" t="inlineStr"/>
      <c r="P70" s="20" t="inlineStr"/>
      <c r="Q70" s="20" t="inlineStr"/>
      <c r="R70" s="21">
        <f>IF(O70="","",IF(Q70&lt;&gt;"",Q70-O70,TODAY()-O70))</f>
        <v/>
      </c>
      <c r="S70" s="17">
        <f>IF(R70="","",IF(R70&lt;=30,"0-30 Days",IF(R70&lt;=60,"31-60 Days",IF(R70&lt;=90,"61-90 Days",IF(R70&lt;=180,"91-180 Days","181+ Days")))))</f>
        <v/>
      </c>
      <c r="T70" s="16" t="inlineStr">
        <is>
          <t>Medium</t>
        </is>
      </c>
      <c r="U70" s="16" t="inlineStr">
        <is>
          <t>Pending</t>
        </is>
      </c>
      <c r="V70" s="16" t="inlineStr"/>
      <c r="W70" s="16" t="inlineStr"/>
      <c r="X70" s="16" t="inlineStr"/>
    </row>
    <row r="71">
      <c r="A71" s="16" t="inlineStr"/>
      <c r="B71" s="16" t="inlineStr"/>
      <c r="C71" s="17" t="inlineStr"/>
      <c r="D71" s="17" t="inlineStr"/>
      <c r="E71" s="16" t="inlineStr"/>
      <c r="F71" s="16" t="inlineStr"/>
      <c r="G71" s="16" t="inlineStr"/>
      <c r="H71" s="16" t="inlineStr"/>
      <c r="I71" s="16" t="inlineStr"/>
      <c r="J71" s="16" t="inlineStr">
        <is>
          <t>Open</t>
        </is>
      </c>
      <c r="K71" s="16" t="inlineStr">
        <is>
          <t>Medium</t>
        </is>
      </c>
      <c r="L71" s="16" t="inlineStr">
        <is>
          <t>Medium</t>
        </is>
      </c>
      <c r="M71" s="16" t="inlineStr">
        <is>
          <t>Possible</t>
        </is>
      </c>
      <c r="N71" s="21">
        <f>IF(OR(L71="",M71=""),"",IF(L71="Critical",4,IF(L71="High",3,IF(L71="Medium",2,1)))*IF(M71="Almost Certain",5,IF(M71="Likely",4,IF(M71="Possible",3,IF(M71="Unlikely",2,1)))))</f>
        <v/>
      </c>
      <c r="O71" s="20" t="inlineStr"/>
      <c r="P71" s="20" t="inlineStr"/>
      <c r="Q71" s="20" t="inlineStr"/>
      <c r="R71" s="21">
        <f>IF(O71="","",IF(Q71&lt;&gt;"",Q71-O71,TODAY()-O71))</f>
        <v/>
      </c>
      <c r="S71" s="17">
        <f>IF(R71="","",IF(R71&lt;=30,"0-30 Days",IF(R71&lt;=60,"31-60 Days",IF(R71&lt;=90,"61-90 Days",IF(R71&lt;=180,"91-180 Days","181+ Days")))))</f>
        <v/>
      </c>
      <c r="T71" s="16" t="inlineStr">
        <is>
          <t>Medium</t>
        </is>
      </c>
      <c r="U71" s="16" t="inlineStr">
        <is>
          <t>Pending</t>
        </is>
      </c>
      <c r="V71" s="16" t="inlineStr"/>
      <c r="W71" s="16" t="inlineStr"/>
      <c r="X71" s="16" t="inlineStr"/>
    </row>
    <row r="72">
      <c r="A72" s="16" t="inlineStr"/>
      <c r="B72" s="16" t="inlineStr"/>
      <c r="C72" s="17" t="inlineStr"/>
      <c r="D72" s="17" t="inlineStr"/>
      <c r="E72" s="16" t="inlineStr"/>
      <c r="F72" s="16" t="inlineStr"/>
      <c r="G72" s="16" t="inlineStr"/>
      <c r="H72" s="16" t="inlineStr"/>
      <c r="I72" s="16" t="inlineStr"/>
      <c r="J72" s="16" t="inlineStr">
        <is>
          <t>Open</t>
        </is>
      </c>
      <c r="K72" s="16" t="inlineStr">
        <is>
          <t>Medium</t>
        </is>
      </c>
      <c r="L72" s="16" t="inlineStr">
        <is>
          <t>Medium</t>
        </is>
      </c>
      <c r="M72" s="16" t="inlineStr">
        <is>
          <t>Possible</t>
        </is>
      </c>
      <c r="N72" s="21">
        <f>IF(OR(L72="",M72=""),"",IF(L72="Critical",4,IF(L72="High",3,IF(L72="Medium",2,1)))*IF(M72="Almost Certain",5,IF(M72="Likely",4,IF(M72="Possible",3,IF(M72="Unlikely",2,1)))))</f>
        <v/>
      </c>
      <c r="O72" s="20" t="inlineStr"/>
      <c r="P72" s="20" t="inlineStr"/>
      <c r="Q72" s="20" t="inlineStr"/>
      <c r="R72" s="21">
        <f>IF(O72="","",IF(Q72&lt;&gt;"",Q72-O72,TODAY()-O72))</f>
        <v/>
      </c>
      <c r="S72" s="17">
        <f>IF(R72="","",IF(R72&lt;=30,"0-30 Days",IF(R72&lt;=60,"31-60 Days",IF(R72&lt;=90,"61-90 Days",IF(R72&lt;=180,"91-180 Days","181+ Days")))))</f>
        <v/>
      </c>
      <c r="T72" s="16" t="inlineStr">
        <is>
          <t>Medium</t>
        </is>
      </c>
      <c r="U72" s="16" t="inlineStr">
        <is>
          <t>Pending</t>
        </is>
      </c>
      <c r="V72" s="16" t="inlineStr"/>
      <c r="W72" s="16" t="inlineStr"/>
      <c r="X72" s="16" t="inlineStr"/>
    </row>
    <row r="73">
      <c r="A73" s="16" t="inlineStr"/>
      <c r="B73" s="16" t="inlineStr"/>
      <c r="C73" s="17" t="inlineStr"/>
      <c r="D73" s="17" t="inlineStr"/>
      <c r="E73" s="16" t="inlineStr"/>
      <c r="F73" s="16" t="inlineStr"/>
      <c r="G73" s="16" t="inlineStr"/>
      <c r="H73" s="16" t="inlineStr"/>
      <c r="I73" s="16" t="inlineStr"/>
      <c r="J73" s="16" t="inlineStr">
        <is>
          <t>Open</t>
        </is>
      </c>
      <c r="K73" s="16" t="inlineStr">
        <is>
          <t>Medium</t>
        </is>
      </c>
      <c r="L73" s="16" t="inlineStr">
        <is>
          <t>Medium</t>
        </is>
      </c>
      <c r="M73" s="16" t="inlineStr">
        <is>
          <t>Possible</t>
        </is>
      </c>
      <c r="N73" s="21">
        <f>IF(OR(L73="",M73=""),"",IF(L73="Critical",4,IF(L73="High",3,IF(L73="Medium",2,1)))*IF(M73="Almost Certain",5,IF(M73="Likely",4,IF(M73="Possible",3,IF(M73="Unlikely",2,1)))))</f>
        <v/>
      </c>
      <c r="O73" s="20" t="inlineStr"/>
      <c r="P73" s="20" t="inlineStr"/>
      <c r="Q73" s="20" t="inlineStr"/>
      <c r="R73" s="21">
        <f>IF(O73="","",IF(Q73&lt;&gt;"",Q73-O73,TODAY()-O73))</f>
        <v/>
      </c>
      <c r="S73" s="17">
        <f>IF(R73="","",IF(R73&lt;=30,"0-30 Days",IF(R73&lt;=60,"31-60 Days",IF(R73&lt;=90,"61-90 Days",IF(R73&lt;=180,"91-180 Days","181+ Days")))))</f>
        <v/>
      </c>
      <c r="T73" s="16" t="inlineStr">
        <is>
          <t>Medium</t>
        </is>
      </c>
      <c r="U73" s="16" t="inlineStr">
        <is>
          <t>Pending</t>
        </is>
      </c>
      <c r="V73" s="16" t="inlineStr"/>
      <c r="W73" s="16" t="inlineStr"/>
      <c r="X73" s="16" t="inlineStr"/>
    </row>
    <row r="74">
      <c r="A74" s="16" t="inlineStr"/>
      <c r="B74" s="16" t="inlineStr"/>
      <c r="C74" s="17" t="inlineStr"/>
      <c r="D74" s="17" t="inlineStr"/>
      <c r="E74" s="16" t="inlineStr"/>
      <c r="F74" s="16" t="inlineStr"/>
      <c r="G74" s="16" t="inlineStr"/>
      <c r="H74" s="16" t="inlineStr"/>
      <c r="I74" s="16" t="inlineStr"/>
      <c r="J74" s="16" t="inlineStr">
        <is>
          <t>Open</t>
        </is>
      </c>
      <c r="K74" s="16" t="inlineStr">
        <is>
          <t>Medium</t>
        </is>
      </c>
      <c r="L74" s="16" t="inlineStr">
        <is>
          <t>Medium</t>
        </is>
      </c>
      <c r="M74" s="16" t="inlineStr">
        <is>
          <t>Possible</t>
        </is>
      </c>
      <c r="N74" s="21">
        <f>IF(OR(L74="",M74=""),"",IF(L74="Critical",4,IF(L74="High",3,IF(L74="Medium",2,1)))*IF(M74="Almost Certain",5,IF(M74="Likely",4,IF(M74="Possible",3,IF(M74="Unlikely",2,1)))))</f>
        <v/>
      </c>
      <c r="O74" s="20" t="inlineStr"/>
      <c r="P74" s="20" t="inlineStr"/>
      <c r="Q74" s="20" t="inlineStr"/>
      <c r="R74" s="21">
        <f>IF(O74="","",IF(Q74&lt;&gt;"",Q74-O74,TODAY()-O74))</f>
        <v/>
      </c>
      <c r="S74" s="17">
        <f>IF(R74="","",IF(R74&lt;=30,"0-30 Days",IF(R74&lt;=60,"31-60 Days",IF(R74&lt;=90,"61-90 Days",IF(R74&lt;=180,"91-180 Days","181+ Days")))))</f>
        <v/>
      </c>
      <c r="T74" s="16" t="inlineStr">
        <is>
          <t>Medium</t>
        </is>
      </c>
      <c r="U74" s="16" t="inlineStr">
        <is>
          <t>Pending</t>
        </is>
      </c>
      <c r="V74" s="16" t="inlineStr"/>
      <c r="W74" s="16" t="inlineStr"/>
      <c r="X74" s="16" t="inlineStr"/>
    </row>
    <row r="75">
      <c r="A75" s="16" t="inlineStr"/>
      <c r="B75" s="16" t="inlineStr"/>
      <c r="C75" s="17" t="inlineStr"/>
      <c r="D75" s="17" t="inlineStr"/>
      <c r="E75" s="16" t="inlineStr"/>
      <c r="F75" s="16" t="inlineStr"/>
      <c r="G75" s="16" t="inlineStr"/>
      <c r="H75" s="16" t="inlineStr"/>
      <c r="I75" s="16" t="inlineStr"/>
      <c r="J75" s="16" t="inlineStr">
        <is>
          <t>Open</t>
        </is>
      </c>
      <c r="K75" s="16" t="inlineStr">
        <is>
          <t>Medium</t>
        </is>
      </c>
      <c r="L75" s="16" t="inlineStr">
        <is>
          <t>Medium</t>
        </is>
      </c>
      <c r="M75" s="16" t="inlineStr">
        <is>
          <t>Possible</t>
        </is>
      </c>
      <c r="N75" s="21">
        <f>IF(OR(L75="",M75=""),"",IF(L75="Critical",4,IF(L75="High",3,IF(L75="Medium",2,1)))*IF(M75="Almost Certain",5,IF(M75="Likely",4,IF(M75="Possible",3,IF(M75="Unlikely",2,1)))))</f>
        <v/>
      </c>
      <c r="O75" s="20" t="inlineStr"/>
      <c r="P75" s="20" t="inlineStr"/>
      <c r="Q75" s="20" t="inlineStr"/>
      <c r="R75" s="21">
        <f>IF(O75="","",IF(Q75&lt;&gt;"",Q75-O75,TODAY()-O75))</f>
        <v/>
      </c>
      <c r="S75" s="17">
        <f>IF(R75="","",IF(R75&lt;=30,"0-30 Days",IF(R75&lt;=60,"31-60 Days",IF(R75&lt;=90,"61-90 Days",IF(R75&lt;=180,"91-180 Days","181+ Days")))))</f>
        <v/>
      </c>
      <c r="T75" s="16" t="inlineStr">
        <is>
          <t>Medium</t>
        </is>
      </c>
      <c r="U75" s="16" t="inlineStr">
        <is>
          <t>Pending</t>
        </is>
      </c>
      <c r="V75" s="16" t="inlineStr"/>
      <c r="W75" s="16" t="inlineStr"/>
      <c r="X75" s="16" t="inlineStr"/>
    </row>
    <row r="76">
      <c r="A76" s="16" t="inlineStr"/>
      <c r="B76" s="16" t="inlineStr"/>
      <c r="C76" s="17" t="inlineStr"/>
      <c r="D76" s="17" t="inlineStr"/>
      <c r="E76" s="16" t="inlineStr"/>
      <c r="F76" s="16" t="inlineStr"/>
      <c r="G76" s="16" t="inlineStr"/>
      <c r="H76" s="16" t="inlineStr"/>
      <c r="I76" s="16" t="inlineStr"/>
      <c r="J76" s="16" t="inlineStr">
        <is>
          <t>Open</t>
        </is>
      </c>
      <c r="K76" s="16" t="inlineStr">
        <is>
          <t>Medium</t>
        </is>
      </c>
      <c r="L76" s="16" t="inlineStr">
        <is>
          <t>Medium</t>
        </is>
      </c>
      <c r="M76" s="16" t="inlineStr">
        <is>
          <t>Possible</t>
        </is>
      </c>
      <c r="N76" s="21">
        <f>IF(OR(L76="",M76=""),"",IF(L76="Critical",4,IF(L76="High",3,IF(L76="Medium",2,1)))*IF(M76="Almost Certain",5,IF(M76="Likely",4,IF(M76="Possible",3,IF(M76="Unlikely",2,1)))))</f>
        <v/>
      </c>
      <c r="O76" s="20" t="inlineStr"/>
      <c r="P76" s="20" t="inlineStr"/>
      <c r="Q76" s="20" t="inlineStr"/>
      <c r="R76" s="21">
        <f>IF(O76="","",IF(Q76&lt;&gt;"",Q76-O76,TODAY()-O76))</f>
        <v/>
      </c>
      <c r="S76" s="17">
        <f>IF(R76="","",IF(R76&lt;=30,"0-30 Days",IF(R76&lt;=60,"31-60 Days",IF(R76&lt;=90,"61-90 Days",IF(R76&lt;=180,"91-180 Days","181+ Days")))))</f>
        <v/>
      </c>
      <c r="T76" s="16" t="inlineStr">
        <is>
          <t>Medium</t>
        </is>
      </c>
      <c r="U76" s="16" t="inlineStr">
        <is>
          <t>Pending</t>
        </is>
      </c>
      <c r="V76" s="16" t="inlineStr"/>
      <c r="W76" s="16" t="inlineStr"/>
      <c r="X76" s="16" t="inlineStr"/>
    </row>
    <row r="77">
      <c r="A77" s="16" t="inlineStr"/>
      <c r="B77" s="16" t="inlineStr"/>
      <c r="C77" s="17" t="inlineStr"/>
      <c r="D77" s="17" t="inlineStr"/>
      <c r="E77" s="16" t="inlineStr"/>
      <c r="F77" s="16" t="inlineStr"/>
      <c r="G77" s="16" t="inlineStr"/>
      <c r="H77" s="16" t="inlineStr"/>
      <c r="I77" s="16" t="inlineStr"/>
      <c r="J77" s="16" t="inlineStr">
        <is>
          <t>Open</t>
        </is>
      </c>
      <c r="K77" s="16" t="inlineStr">
        <is>
          <t>Medium</t>
        </is>
      </c>
      <c r="L77" s="16" t="inlineStr">
        <is>
          <t>Medium</t>
        </is>
      </c>
      <c r="M77" s="16" t="inlineStr">
        <is>
          <t>Possible</t>
        </is>
      </c>
      <c r="N77" s="21">
        <f>IF(OR(L77="",M77=""),"",IF(L77="Critical",4,IF(L77="High",3,IF(L77="Medium",2,1)))*IF(M77="Almost Certain",5,IF(M77="Likely",4,IF(M77="Possible",3,IF(M77="Unlikely",2,1)))))</f>
        <v/>
      </c>
      <c r="O77" s="20" t="inlineStr"/>
      <c r="P77" s="20" t="inlineStr"/>
      <c r="Q77" s="20" t="inlineStr"/>
      <c r="R77" s="21">
        <f>IF(O77="","",IF(Q77&lt;&gt;"",Q77-O77,TODAY()-O77))</f>
        <v/>
      </c>
      <c r="S77" s="17">
        <f>IF(R77="","",IF(R77&lt;=30,"0-30 Days",IF(R77&lt;=60,"31-60 Days",IF(R77&lt;=90,"61-90 Days",IF(R77&lt;=180,"91-180 Days","181+ Days")))))</f>
        <v/>
      </c>
      <c r="T77" s="16" t="inlineStr">
        <is>
          <t>Medium</t>
        </is>
      </c>
      <c r="U77" s="16" t="inlineStr">
        <is>
          <t>Pending</t>
        </is>
      </c>
      <c r="V77" s="16" t="inlineStr"/>
      <c r="W77" s="16" t="inlineStr"/>
      <c r="X77" s="16" t="inlineStr"/>
    </row>
    <row r="78">
      <c r="A78" s="16" t="inlineStr"/>
      <c r="B78" s="16" t="inlineStr"/>
      <c r="C78" s="17" t="inlineStr"/>
      <c r="D78" s="17" t="inlineStr"/>
      <c r="E78" s="16" t="inlineStr"/>
      <c r="F78" s="16" t="inlineStr"/>
      <c r="G78" s="16" t="inlineStr"/>
      <c r="H78" s="16" t="inlineStr"/>
      <c r="I78" s="16" t="inlineStr"/>
      <c r="J78" s="16" t="inlineStr">
        <is>
          <t>Open</t>
        </is>
      </c>
      <c r="K78" s="16" t="inlineStr">
        <is>
          <t>Medium</t>
        </is>
      </c>
      <c r="L78" s="16" t="inlineStr">
        <is>
          <t>Medium</t>
        </is>
      </c>
      <c r="M78" s="16" t="inlineStr">
        <is>
          <t>Possible</t>
        </is>
      </c>
      <c r="N78" s="21">
        <f>IF(OR(L78="",M78=""),"",IF(L78="Critical",4,IF(L78="High",3,IF(L78="Medium",2,1)))*IF(M78="Almost Certain",5,IF(M78="Likely",4,IF(M78="Possible",3,IF(M78="Unlikely",2,1)))))</f>
        <v/>
      </c>
      <c r="O78" s="20" t="inlineStr"/>
      <c r="P78" s="20" t="inlineStr"/>
      <c r="Q78" s="20" t="inlineStr"/>
      <c r="R78" s="21">
        <f>IF(O78="","",IF(Q78&lt;&gt;"",Q78-O78,TODAY()-O78))</f>
        <v/>
      </c>
      <c r="S78" s="17">
        <f>IF(R78="","",IF(R78&lt;=30,"0-30 Days",IF(R78&lt;=60,"31-60 Days",IF(R78&lt;=90,"61-90 Days",IF(R78&lt;=180,"91-180 Days","181+ Days")))))</f>
        <v/>
      </c>
      <c r="T78" s="16" t="inlineStr">
        <is>
          <t>Medium</t>
        </is>
      </c>
      <c r="U78" s="16" t="inlineStr">
        <is>
          <t>Pending</t>
        </is>
      </c>
      <c r="V78" s="16" t="inlineStr"/>
      <c r="W78" s="16" t="inlineStr"/>
      <c r="X78" s="16" t="inlineStr"/>
    </row>
    <row r="79">
      <c r="A79" s="16" t="inlineStr"/>
      <c r="B79" s="16" t="inlineStr"/>
      <c r="C79" s="17" t="inlineStr"/>
      <c r="D79" s="17" t="inlineStr"/>
      <c r="E79" s="16" t="inlineStr"/>
      <c r="F79" s="16" t="inlineStr"/>
      <c r="G79" s="16" t="inlineStr"/>
      <c r="H79" s="16" t="inlineStr"/>
      <c r="I79" s="16" t="inlineStr"/>
      <c r="J79" s="16" t="inlineStr">
        <is>
          <t>Open</t>
        </is>
      </c>
      <c r="K79" s="16" t="inlineStr">
        <is>
          <t>Medium</t>
        </is>
      </c>
      <c r="L79" s="16" t="inlineStr">
        <is>
          <t>Medium</t>
        </is>
      </c>
      <c r="M79" s="16" t="inlineStr">
        <is>
          <t>Possible</t>
        </is>
      </c>
      <c r="N79" s="21">
        <f>IF(OR(L79="",M79=""),"",IF(L79="Critical",4,IF(L79="High",3,IF(L79="Medium",2,1)))*IF(M79="Almost Certain",5,IF(M79="Likely",4,IF(M79="Possible",3,IF(M79="Unlikely",2,1)))))</f>
        <v/>
      </c>
      <c r="O79" s="20" t="inlineStr"/>
      <c r="P79" s="20" t="inlineStr"/>
      <c r="Q79" s="20" t="inlineStr"/>
      <c r="R79" s="21">
        <f>IF(O79="","",IF(Q79&lt;&gt;"",Q79-O79,TODAY()-O79))</f>
        <v/>
      </c>
      <c r="S79" s="17">
        <f>IF(R79="","",IF(R79&lt;=30,"0-30 Days",IF(R79&lt;=60,"31-60 Days",IF(R79&lt;=90,"61-90 Days",IF(R79&lt;=180,"91-180 Days","181+ Days")))))</f>
        <v/>
      </c>
      <c r="T79" s="16" t="inlineStr">
        <is>
          <t>Medium</t>
        </is>
      </c>
      <c r="U79" s="16" t="inlineStr">
        <is>
          <t>Pending</t>
        </is>
      </c>
      <c r="V79" s="16" t="inlineStr"/>
      <c r="W79" s="16" t="inlineStr"/>
      <c r="X79" s="16" t="inlineStr"/>
    </row>
    <row r="80">
      <c r="A80" s="16" t="inlineStr"/>
      <c r="B80" s="16" t="inlineStr"/>
      <c r="C80" s="17" t="inlineStr"/>
      <c r="D80" s="17" t="inlineStr"/>
      <c r="E80" s="16" t="inlineStr"/>
      <c r="F80" s="16" t="inlineStr"/>
      <c r="G80" s="16" t="inlineStr"/>
      <c r="H80" s="16" t="inlineStr"/>
      <c r="I80" s="16" t="inlineStr"/>
      <c r="J80" s="16" t="inlineStr">
        <is>
          <t>Open</t>
        </is>
      </c>
      <c r="K80" s="16" t="inlineStr">
        <is>
          <t>Medium</t>
        </is>
      </c>
      <c r="L80" s="16" t="inlineStr">
        <is>
          <t>Medium</t>
        </is>
      </c>
      <c r="M80" s="16" t="inlineStr">
        <is>
          <t>Possible</t>
        </is>
      </c>
      <c r="N80" s="21">
        <f>IF(OR(L80="",M80=""),"",IF(L80="Critical",4,IF(L80="High",3,IF(L80="Medium",2,1)))*IF(M80="Almost Certain",5,IF(M80="Likely",4,IF(M80="Possible",3,IF(M80="Unlikely",2,1)))))</f>
        <v/>
      </c>
      <c r="O80" s="20" t="inlineStr"/>
      <c r="P80" s="20" t="inlineStr"/>
      <c r="Q80" s="20" t="inlineStr"/>
      <c r="R80" s="21">
        <f>IF(O80="","",IF(Q80&lt;&gt;"",Q80-O80,TODAY()-O80))</f>
        <v/>
      </c>
      <c r="S80" s="17">
        <f>IF(R80="","",IF(R80&lt;=30,"0-30 Days",IF(R80&lt;=60,"31-60 Days",IF(R80&lt;=90,"61-90 Days",IF(R80&lt;=180,"91-180 Days","181+ Days")))))</f>
        <v/>
      </c>
      <c r="T80" s="16" t="inlineStr">
        <is>
          <t>Medium</t>
        </is>
      </c>
      <c r="U80" s="16" t="inlineStr">
        <is>
          <t>Pending</t>
        </is>
      </c>
      <c r="V80" s="16" t="inlineStr"/>
      <c r="W80" s="16" t="inlineStr"/>
      <c r="X80" s="16" t="inlineStr"/>
    </row>
    <row r="81">
      <c r="A81" s="16" t="inlineStr"/>
      <c r="B81" s="16" t="inlineStr"/>
      <c r="C81" s="17" t="inlineStr"/>
      <c r="D81" s="17" t="inlineStr"/>
      <c r="E81" s="16" t="inlineStr"/>
      <c r="F81" s="16" t="inlineStr"/>
      <c r="G81" s="16" t="inlineStr"/>
      <c r="H81" s="16" t="inlineStr"/>
      <c r="I81" s="16" t="inlineStr"/>
      <c r="J81" s="16" t="inlineStr">
        <is>
          <t>Open</t>
        </is>
      </c>
      <c r="K81" s="16" t="inlineStr">
        <is>
          <t>Medium</t>
        </is>
      </c>
      <c r="L81" s="16" t="inlineStr">
        <is>
          <t>Medium</t>
        </is>
      </c>
      <c r="M81" s="16" t="inlineStr">
        <is>
          <t>Possible</t>
        </is>
      </c>
      <c r="N81" s="21">
        <f>IF(OR(L81="",M81=""),"",IF(L81="Critical",4,IF(L81="High",3,IF(L81="Medium",2,1)))*IF(M81="Almost Certain",5,IF(M81="Likely",4,IF(M81="Possible",3,IF(M81="Unlikely",2,1)))))</f>
        <v/>
      </c>
      <c r="O81" s="20" t="inlineStr"/>
      <c r="P81" s="20" t="inlineStr"/>
      <c r="Q81" s="20" t="inlineStr"/>
      <c r="R81" s="21">
        <f>IF(O81="","",IF(Q81&lt;&gt;"",Q81-O81,TODAY()-O81))</f>
        <v/>
      </c>
      <c r="S81" s="17">
        <f>IF(R81="","",IF(R81&lt;=30,"0-30 Days",IF(R81&lt;=60,"31-60 Days",IF(R81&lt;=90,"61-90 Days",IF(R81&lt;=180,"91-180 Days","181+ Days")))))</f>
        <v/>
      </c>
      <c r="T81" s="16" t="inlineStr">
        <is>
          <t>Medium</t>
        </is>
      </c>
      <c r="U81" s="16" t="inlineStr">
        <is>
          <t>Pending</t>
        </is>
      </c>
      <c r="V81" s="16" t="inlineStr"/>
      <c r="W81" s="16" t="inlineStr"/>
      <c r="X81" s="16" t="inlineStr"/>
    </row>
    <row r="82">
      <c r="A82" s="16" t="inlineStr"/>
      <c r="B82" s="16" t="inlineStr"/>
      <c r="C82" s="17" t="inlineStr"/>
      <c r="D82" s="17" t="inlineStr"/>
      <c r="E82" s="16" t="inlineStr"/>
      <c r="F82" s="16" t="inlineStr"/>
      <c r="G82" s="16" t="inlineStr"/>
      <c r="H82" s="16" t="inlineStr"/>
      <c r="I82" s="16" t="inlineStr"/>
      <c r="J82" s="16" t="inlineStr">
        <is>
          <t>Open</t>
        </is>
      </c>
      <c r="K82" s="16" t="inlineStr">
        <is>
          <t>Medium</t>
        </is>
      </c>
      <c r="L82" s="16" t="inlineStr">
        <is>
          <t>Medium</t>
        </is>
      </c>
      <c r="M82" s="16" t="inlineStr">
        <is>
          <t>Possible</t>
        </is>
      </c>
      <c r="N82" s="21">
        <f>IF(OR(L82="",M82=""),"",IF(L82="Critical",4,IF(L82="High",3,IF(L82="Medium",2,1)))*IF(M82="Almost Certain",5,IF(M82="Likely",4,IF(M82="Possible",3,IF(M82="Unlikely",2,1)))))</f>
        <v/>
      </c>
      <c r="O82" s="20" t="inlineStr"/>
      <c r="P82" s="20" t="inlineStr"/>
      <c r="Q82" s="20" t="inlineStr"/>
      <c r="R82" s="21">
        <f>IF(O82="","",IF(Q82&lt;&gt;"",Q82-O82,TODAY()-O82))</f>
        <v/>
      </c>
      <c r="S82" s="17">
        <f>IF(R82="","",IF(R82&lt;=30,"0-30 Days",IF(R82&lt;=60,"31-60 Days",IF(R82&lt;=90,"61-90 Days",IF(R82&lt;=180,"91-180 Days","181+ Days")))))</f>
        <v/>
      </c>
      <c r="T82" s="16" t="inlineStr">
        <is>
          <t>Medium</t>
        </is>
      </c>
      <c r="U82" s="16" t="inlineStr">
        <is>
          <t>Pending</t>
        </is>
      </c>
      <c r="V82" s="16" t="inlineStr"/>
      <c r="W82" s="16" t="inlineStr"/>
      <c r="X82" s="16" t="inlineStr"/>
    </row>
    <row r="83">
      <c r="A83" s="16" t="inlineStr"/>
      <c r="B83" s="16" t="inlineStr"/>
      <c r="C83" s="17" t="inlineStr"/>
      <c r="D83" s="17" t="inlineStr"/>
      <c r="E83" s="16" t="inlineStr"/>
      <c r="F83" s="16" t="inlineStr"/>
      <c r="G83" s="16" t="inlineStr"/>
      <c r="H83" s="16" t="inlineStr"/>
      <c r="I83" s="16" t="inlineStr"/>
      <c r="J83" s="16" t="inlineStr">
        <is>
          <t>Open</t>
        </is>
      </c>
      <c r="K83" s="16" t="inlineStr">
        <is>
          <t>Medium</t>
        </is>
      </c>
      <c r="L83" s="16" t="inlineStr">
        <is>
          <t>Medium</t>
        </is>
      </c>
      <c r="M83" s="16" t="inlineStr">
        <is>
          <t>Possible</t>
        </is>
      </c>
      <c r="N83" s="21">
        <f>IF(OR(L83="",M83=""),"",IF(L83="Critical",4,IF(L83="High",3,IF(L83="Medium",2,1)))*IF(M83="Almost Certain",5,IF(M83="Likely",4,IF(M83="Possible",3,IF(M83="Unlikely",2,1)))))</f>
        <v/>
      </c>
      <c r="O83" s="20" t="inlineStr"/>
      <c r="P83" s="20" t="inlineStr"/>
      <c r="Q83" s="20" t="inlineStr"/>
      <c r="R83" s="21">
        <f>IF(O83="","",IF(Q83&lt;&gt;"",Q83-O83,TODAY()-O83))</f>
        <v/>
      </c>
      <c r="S83" s="17">
        <f>IF(R83="","",IF(R83&lt;=30,"0-30 Days",IF(R83&lt;=60,"31-60 Days",IF(R83&lt;=90,"61-90 Days",IF(R83&lt;=180,"91-180 Days","181+ Days")))))</f>
        <v/>
      </c>
      <c r="T83" s="16" t="inlineStr">
        <is>
          <t>Medium</t>
        </is>
      </c>
      <c r="U83" s="16" t="inlineStr">
        <is>
          <t>Pending</t>
        </is>
      </c>
      <c r="V83" s="16" t="inlineStr"/>
      <c r="W83" s="16" t="inlineStr"/>
      <c r="X83" s="16" t="inlineStr"/>
    </row>
    <row r="84">
      <c r="A84" s="16" t="inlineStr"/>
      <c r="B84" s="16" t="inlineStr"/>
      <c r="C84" s="17" t="inlineStr"/>
      <c r="D84" s="17" t="inlineStr"/>
      <c r="E84" s="16" t="inlineStr"/>
      <c r="F84" s="16" t="inlineStr"/>
      <c r="G84" s="16" t="inlineStr"/>
      <c r="H84" s="16" t="inlineStr"/>
      <c r="I84" s="16" t="inlineStr"/>
      <c r="J84" s="16" t="inlineStr">
        <is>
          <t>Open</t>
        </is>
      </c>
      <c r="K84" s="16" t="inlineStr">
        <is>
          <t>Medium</t>
        </is>
      </c>
      <c r="L84" s="16" t="inlineStr">
        <is>
          <t>Medium</t>
        </is>
      </c>
      <c r="M84" s="16" t="inlineStr">
        <is>
          <t>Possible</t>
        </is>
      </c>
      <c r="N84" s="21">
        <f>IF(OR(L84="",M84=""),"",IF(L84="Critical",4,IF(L84="High",3,IF(L84="Medium",2,1)))*IF(M84="Almost Certain",5,IF(M84="Likely",4,IF(M84="Possible",3,IF(M84="Unlikely",2,1)))))</f>
        <v/>
      </c>
      <c r="O84" s="20" t="inlineStr"/>
      <c r="P84" s="20" t="inlineStr"/>
      <c r="Q84" s="20" t="inlineStr"/>
      <c r="R84" s="21">
        <f>IF(O84="","",IF(Q84&lt;&gt;"",Q84-O84,TODAY()-O84))</f>
        <v/>
      </c>
      <c r="S84" s="17">
        <f>IF(R84="","",IF(R84&lt;=30,"0-30 Days",IF(R84&lt;=60,"31-60 Days",IF(R84&lt;=90,"61-90 Days",IF(R84&lt;=180,"91-180 Days","181+ Days")))))</f>
        <v/>
      </c>
      <c r="T84" s="16" t="inlineStr">
        <is>
          <t>Medium</t>
        </is>
      </c>
      <c r="U84" s="16" t="inlineStr">
        <is>
          <t>Pending</t>
        </is>
      </c>
      <c r="V84" s="16" t="inlineStr"/>
      <c r="W84" s="16" t="inlineStr"/>
      <c r="X84" s="16" t="inlineStr"/>
    </row>
    <row r="85">
      <c r="A85" s="16" t="inlineStr"/>
      <c r="B85" s="16" t="inlineStr"/>
      <c r="C85" s="17" t="inlineStr"/>
      <c r="D85" s="17" t="inlineStr"/>
      <c r="E85" s="16" t="inlineStr"/>
      <c r="F85" s="16" t="inlineStr"/>
      <c r="G85" s="16" t="inlineStr"/>
      <c r="H85" s="16" t="inlineStr"/>
      <c r="I85" s="16" t="inlineStr"/>
      <c r="J85" s="16" t="inlineStr">
        <is>
          <t>Open</t>
        </is>
      </c>
      <c r="K85" s="16" t="inlineStr">
        <is>
          <t>Medium</t>
        </is>
      </c>
      <c r="L85" s="16" t="inlineStr">
        <is>
          <t>Medium</t>
        </is>
      </c>
      <c r="M85" s="16" t="inlineStr">
        <is>
          <t>Possible</t>
        </is>
      </c>
      <c r="N85" s="21">
        <f>IF(OR(L85="",M85=""),"",IF(L85="Critical",4,IF(L85="High",3,IF(L85="Medium",2,1)))*IF(M85="Almost Certain",5,IF(M85="Likely",4,IF(M85="Possible",3,IF(M85="Unlikely",2,1)))))</f>
        <v/>
      </c>
      <c r="O85" s="20" t="inlineStr"/>
      <c r="P85" s="20" t="inlineStr"/>
      <c r="Q85" s="20" t="inlineStr"/>
      <c r="R85" s="21">
        <f>IF(O85="","",IF(Q85&lt;&gt;"",Q85-O85,TODAY()-O85))</f>
        <v/>
      </c>
      <c r="S85" s="17">
        <f>IF(R85="","",IF(R85&lt;=30,"0-30 Days",IF(R85&lt;=60,"31-60 Days",IF(R85&lt;=90,"61-90 Days",IF(R85&lt;=180,"91-180 Days","181+ Days")))))</f>
        <v/>
      </c>
      <c r="T85" s="16" t="inlineStr">
        <is>
          <t>Medium</t>
        </is>
      </c>
      <c r="U85" s="16" t="inlineStr">
        <is>
          <t>Pending</t>
        </is>
      </c>
      <c r="V85" s="16" t="inlineStr"/>
      <c r="W85" s="16" t="inlineStr"/>
      <c r="X85" s="16" t="inlineStr"/>
    </row>
    <row r="86">
      <c r="A86" s="16" t="inlineStr"/>
      <c r="B86" s="16" t="inlineStr"/>
      <c r="C86" s="17" t="inlineStr"/>
      <c r="D86" s="17" t="inlineStr"/>
      <c r="E86" s="16" t="inlineStr"/>
      <c r="F86" s="16" t="inlineStr"/>
      <c r="G86" s="16" t="inlineStr"/>
      <c r="H86" s="16" t="inlineStr"/>
      <c r="I86" s="16" t="inlineStr"/>
      <c r="J86" s="16" t="inlineStr">
        <is>
          <t>Open</t>
        </is>
      </c>
      <c r="K86" s="16" t="inlineStr">
        <is>
          <t>Medium</t>
        </is>
      </c>
      <c r="L86" s="16" t="inlineStr">
        <is>
          <t>Medium</t>
        </is>
      </c>
      <c r="M86" s="16" t="inlineStr">
        <is>
          <t>Possible</t>
        </is>
      </c>
      <c r="N86" s="21">
        <f>IF(OR(L86="",M86=""),"",IF(L86="Critical",4,IF(L86="High",3,IF(L86="Medium",2,1)))*IF(M86="Almost Certain",5,IF(M86="Likely",4,IF(M86="Possible",3,IF(M86="Unlikely",2,1)))))</f>
        <v/>
      </c>
      <c r="O86" s="20" t="inlineStr"/>
      <c r="P86" s="20" t="inlineStr"/>
      <c r="Q86" s="20" t="inlineStr"/>
      <c r="R86" s="21">
        <f>IF(O86="","",IF(Q86&lt;&gt;"",Q86-O86,TODAY()-O86))</f>
        <v/>
      </c>
      <c r="S86" s="17">
        <f>IF(R86="","",IF(R86&lt;=30,"0-30 Days",IF(R86&lt;=60,"31-60 Days",IF(R86&lt;=90,"61-90 Days",IF(R86&lt;=180,"91-180 Days","181+ Days")))))</f>
        <v/>
      </c>
      <c r="T86" s="16" t="inlineStr">
        <is>
          <t>Medium</t>
        </is>
      </c>
      <c r="U86" s="16" t="inlineStr">
        <is>
          <t>Pending</t>
        </is>
      </c>
      <c r="V86" s="16" t="inlineStr"/>
      <c r="W86" s="16" t="inlineStr"/>
      <c r="X86" s="16" t="inlineStr"/>
    </row>
    <row r="87">
      <c r="A87" s="16" t="inlineStr"/>
      <c r="B87" s="16" t="inlineStr"/>
      <c r="C87" s="17" t="inlineStr"/>
      <c r="D87" s="17" t="inlineStr"/>
      <c r="E87" s="16" t="inlineStr"/>
      <c r="F87" s="16" t="inlineStr"/>
      <c r="G87" s="16" t="inlineStr"/>
      <c r="H87" s="16" t="inlineStr"/>
      <c r="I87" s="16" t="inlineStr"/>
      <c r="J87" s="16" t="inlineStr">
        <is>
          <t>Open</t>
        </is>
      </c>
      <c r="K87" s="16" t="inlineStr">
        <is>
          <t>Medium</t>
        </is>
      </c>
      <c r="L87" s="16" t="inlineStr">
        <is>
          <t>Medium</t>
        </is>
      </c>
      <c r="M87" s="16" t="inlineStr">
        <is>
          <t>Possible</t>
        </is>
      </c>
      <c r="N87" s="21">
        <f>IF(OR(L87="",M87=""),"",IF(L87="Critical",4,IF(L87="High",3,IF(L87="Medium",2,1)))*IF(M87="Almost Certain",5,IF(M87="Likely",4,IF(M87="Possible",3,IF(M87="Unlikely",2,1)))))</f>
        <v/>
      </c>
      <c r="O87" s="20" t="inlineStr"/>
      <c r="P87" s="20" t="inlineStr"/>
      <c r="Q87" s="20" t="inlineStr"/>
      <c r="R87" s="21">
        <f>IF(O87="","",IF(Q87&lt;&gt;"",Q87-O87,TODAY()-O87))</f>
        <v/>
      </c>
      <c r="S87" s="17">
        <f>IF(R87="","",IF(R87&lt;=30,"0-30 Days",IF(R87&lt;=60,"31-60 Days",IF(R87&lt;=90,"61-90 Days",IF(R87&lt;=180,"91-180 Days","181+ Days")))))</f>
        <v/>
      </c>
      <c r="T87" s="16" t="inlineStr">
        <is>
          <t>Medium</t>
        </is>
      </c>
      <c r="U87" s="16" t="inlineStr">
        <is>
          <t>Pending</t>
        </is>
      </c>
      <c r="V87" s="16" t="inlineStr"/>
      <c r="W87" s="16" t="inlineStr"/>
      <c r="X87" s="16" t="inlineStr"/>
    </row>
    <row r="88">
      <c r="A88" s="16" t="inlineStr"/>
      <c r="B88" s="16" t="inlineStr"/>
      <c r="C88" s="17" t="inlineStr"/>
      <c r="D88" s="17" t="inlineStr"/>
      <c r="E88" s="16" t="inlineStr"/>
      <c r="F88" s="16" t="inlineStr"/>
      <c r="G88" s="16" t="inlineStr"/>
      <c r="H88" s="16" t="inlineStr"/>
      <c r="I88" s="16" t="inlineStr"/>
      <c r="J88" s="16" t="inlineStr">
        <is>
          <t>Open</t>
        </is>
      </c>
      <c r="K88" s="16" t="inlineStr">
        <is>
          <t>Medium</t>
        </is>
      </c>
      <c r="L88" s="16" t="inlineStr">
        <is>
          <t>Medium</t>
        </is>
      </c>
      <c r="M88" s="16" t="inlineStr">
        <is>
          <t>Possible</t>
        </is>
      </c>
      <c r="N88" s="21">
        <f>IF(OR(L88="",M88=""),"",IF(L88="Critical",4,IF(L88="High",3,IF(L88="Medium",2,1)))*IF(M88="Almost Certain",5,IF(M88="Likely",4,IF(M88="Possible",3,IF(M88="Unlikely",2,1)))))</f>
        <v/>
      </c>
      <c r="O88" s="20" t="inlineStr"/>
      <c r="P88" s="20" t="inlineStr"/>
      <c r="Q88" s="20" t="inlineStr"/>
      <c r="R88" s="21">
        <f>IF(O88="","",IF(Q88&lt;&gt;"",Q88-O88,TODAY()-O88))</f>
        <v/>
      </c>
      <c r="S88" s="17">
        <f>IF(R88="","",IF(R88&lt;=30,"0-30 Days",IF(R88&lt;=60,"31-60 Days",IF(R88&lt;=90,"61-90 Days",IF(R88&lt;=180,"91-180 Days","181+ Days")))))</f>
        <v/>
      </c>
      <c r="T88" s="16" t="inlineStr">
        <is>
          <t>Medium</t>
        </is>
      </c>
      <c r="U88" s="16" t="inlineStr">
        <is>
          <t>Pending</t>
        </is>
      </c>
      <c r="V88" s="16" t="inlineStr"/>
      <c r="W88" s="16" t="inlineStr"/>
      <c r="X88" s="16" t="inlineStr"/>
    </row>
    <row r="89">
      <c r="A89" s="16" t="inlineStr"/>
      <c r="B89" s="16" t="inlineStr"/>
      <c r="C89" s="17" t="inlineStr"/>
      <c r="D89" s="17" t="inlineStr"/>
      <c r="E89" s="16" t="inlineStr"/>
      <c r="F89" s="16" t="inlineStr"/>
      <c r="G89" s="16" t="inlineStr"/>
      <c r="H89" s="16" t="inlineStr"/>
      <c r="I89" s="16" t="inlineStr"/>
      <c r="J89" s="16" t="inlineStr">
        <is>
          <t>Open</t>
        </is>
      </c>
      <c r="K89" s="16" t="inlineStr">
        <is>
          <t>Medium</t>
        </is>
      </c>
      <c r="L89" s="16" t="inlineStr">
        <is>
          <t>Medium</t>
        </is>
      </c>
      <c r="M89" s="16" t="inlineStr">
        <is>
          <t>Possible</t>
        </is>
      </c>
      <c r="N89" s="21">
        <f>IF(OR(L89="",M89=""),"",IF(L89="Critical",4,IF(L89="High",3,IF(L89="Medium",2,1)))*IF(M89="Almost Certain",5,IF(M89="Likely",4,IF(M89="Possible",3,IF(M89="Unlikely",2,1)))))</f>
        <v/>
      </c>
      <c r="O89" s="20" t="inlineStr"/>
      <c r="P89" s="20" t="inlineStr"/>
      <c r="Q89" s="20" t="inlineStr"/>
      <c r="R89" s="21">
        <f>IF(O89="","",IF(Q89&lt;&gt;"",Q89-O89,TODAY()-O89))</f>
        <v/>
      </c>
      <c r="S89" s="17">
        <f>IF(R89="","",IF(R89&lt;=30,"0-30 Days",IF(R89&lt;=60,"31-60 Days",IF(R89&lt;=90,"61-90 Days",IF(R89&lt;=180,"91-180 Days","181+ Days")))))</f>
        <v/>
      </c>
      <c r="T89" s="16" t="inlineStr">
        <is>
          <t>Medium</t>
        </is>
      </c>
      <c r="U89" s="16" t="inlineStr">
        <is>
          <t>Pending</t>
        </is>
      </c>
      <c r="V89" s="16" t="inlineStr"/>
      <c r="W89" s="16" t="inlineStr"/>
      <c r="X89" s="16" t="inlineStr"/>
    </row>
    <row r="90">
      <c r="A90" s="16" t="inlineStr"/>
      <c r="B90" s="16" t="inlineStr"/>
      <c r="C90" s="17" t="inlineStr"/>
      <c r="D90" s="17" t="inlineStr"/>
      <c r="E90" s="16" t="inlineStr"/>
      <c r="F90" s="16" t="inlineStr"/>
      <c r="G90" s="16" t="inlineStr"/>
      <c r="H90" s="16" t="inlineStr"/>
      <c r="I90" s="16" t="inlineStr"/>
      <c r="J90" s="16" t="inlineStr">
        <is>
          <t>Open</t>
        </is>
      </c>
      <c r="K90" s="16" t="inlineStr">
        <is>
          <t>Medium</t>
        </is>
      </c>
      <c r="L90" s="16" t="inlineStr">
        <is>
          <t>Medium</t>
        </is>
      </c>
      <c r="M90" s="16" t="inlineStr">
        <is>
          <t>Possible</t>
        </is>
      </c>
      <c r="N90" s="21">
        <f>IF(OR(L90="",M90=""),"",IF(L90="Critical",4,IF(L90="High",3,IF(L90="Medium",2,1)))*IF(M90="Almost Certain",5,IF(M90="Likely",4,IF(M90="Possible",3,IF(M90="Unlikely",2,1)))))</f>
        <v/>
      </c>
      <c r="O90" s="20" t="inlineStr"/>
      <c r="P90" s="20" t="inlineStr"/>
      <c r="Q90" s="20" t="inlineStr"/>
      <c r="R90" s="21">
        <f>IF(O90="","",IF(Q90&lt;&gt;"",Q90-O90,TODAY()-O90))</f>
        <v/>
      </c>
      <c r="S90" s="17">
        <f>IF(R90="","",IF(R90&lt;=30,"0-30 Days",IF(R90&lt;=60,"31-60 Days",IF(R90&lt;=90,"61-90 Days",IF(R90&lt;=180,"91-180 Days","181+ Days")))))</f>
        <v/>
      </c>
      <c r="T90" s="16" t="inlineStr">
        <is>
          <t>Medium</t>
        </is>
      </c>
      <c r="U90" s="16" t="inlineStr">
        <is>
          <t>Pending</t>
        </is>
      </c>
      <c r="V90" s="16" t="inlineStr"/>
      <c r="W90" s="16" t="inlineStr"/>
      <c r="X90" s="16" t="inlineStr"/>
    </row>
    <row r="91">
      <c r="A91" s="16" t="inlineStr"/>
      <c r="B91" s="16" t="inlineStr"/>
      <c r="C91" s="17" t="inlineStr"/>
      <c r="D91" s="17" t="inlineStr"/>
      <c r="E91" s="16" t="inlineStr"/>
      <c r="F91" s="16" t="inlineStr"/>
      <c r="G91" s="16" t="inlineStr"/>
      <c r="H91" s="16" t="inlineStr"/>
      <c r="I91" s="16" t="inlineStr"/>
      <c r="J91" s="16" t="inlineStr">
        <is>
          <t>Open</t>
        </is>
      </c>
      <c r="K91" s="16" t="inlineStr">
        <is>
          <t>Medium</t>
        </is>
      </c>
      <c r="L91" s="16" t="inlineStr">
        <is>
          <t>Medium</t>
        </is>
      </c>
      <c r="M91" s="16" t="inlineStr">
        <is>
          <t>Possible</t>
        </is>
      </c>
      <c r="N91" s="21">
        <f>IF(OR(L91="",M91=""),"",IF(L91="Critical",4,IF(L91="High",3,IF(L91="Medium",2,1)))*IF(M91="Almost Certain",5,IF(M91="Likely",4,IF(M91="Possible",3,IF(M91="Unlikely",2,1)))))</f>
        <v/>
      </c>
      <c r="O91" s="20" t="inlineStr"/>
      <c r="P91" s="20" t="inlineStr"/>
      <c r="Q91" s="20" t="inlineStr"/>
      <c r="R91" s="21">
        <f>IF(O91="","",IF(Q91&lt;&gt;"",Q91-O91,TODAY()-O91))</f>
        <v/>
      </c>
      <c r="S91" s="17">
        <f>IF(R91="","",IF(R91&lt;=30,"0-30 Days",IF(R91&lt;=60,"31-60 Days",IF(R91&lt;=90,"61-90 Days",IF(R91&lt;=180,"91-180 Days","181+ Days")))))</f>
        <v/>
      </c>
      <c r="T91" s="16" t="inlineStr">
        <is>
          <t>Medium</t>
        </is>
      </c>
      <c r="U91" s="16" t="inlineStr">
        <is>
          <t>Pending</t>
        </is>
      </c>
      <c r="V91" s="16" t="inlineStr"/>
      <c r="W91" s="16" t="inlineStr"/>
      <c r="X91" s="16" t="inlineStr"/>
    </row>
    <row r="92">
      <c r="A92" s="16" t="inlineStr"/>
      <c r="B92" s="16" t="inlineStr"/>
      <c r="C92" s="17" t="inlineStr"/>
      <c r="D92" s="17" t="inlineStr"/>
      <c r="E92" s="16" t="inlineStr"/>
      <c r="F92" s="16" t="inlineStr"/>
      <c r="G92" s="16" t="inlineStr"/>
      <c r="H92" s="16" t="inlineStr"/>
      <c r="I92" s="16" t="inlineStr"/>
      <c r="J92" s="16" t="inlineStr">
        <is>
          <t>Open</t>
        </is>
      </c>
      <c r="K92" s="16" t="inlineStr">
        <is>
          <t>Medium</t>
        </is>
      </c>
      <c r="L92" s="16" t="inlineStr">
        <is>
          <t>Medium</t>
        </is>
      </c>
      <c r="M92" s="16" t="inlineStr">
        <is>
          <t>Possible</t>
        </is>
      </c>
      <c r="N92" s="21">
        <f>IF(OR(L92="",M92=""),"",IF(L92="Critical",4,IF(L92="High",3,IF(L92="Medium",2,1)))*IF(M92="Almost Certain",5,IF(M92="Likely",4,IF(M92="Possible",3,IF(M92="Unlikely",2,1)))))</f>
        <v/>
      </c>
      <c r="O92" s="20" t="inlineStr"/>
      <c r="P92" s="20" t="inlineStr"/>
      <c r="Q92" s="20" t="inlineStr"/>
      <c r="R92" s="21">
        <f>IF(O92="","",IF(Q92&lt;&gt;"",Q92-O92,TODAY()-O92))</f>
        <v/>
      </c>
      <c r="S92" s="17">
        <f>IF(R92="","",IF(R92&lt;=30,"0-30 Days",IF(R92&lt;=60,"31-60 Days",IF(R92&lt;=90,"61-90 Days",IF(R92&lt;=180,"91-180 Days","181+ Days")))))</f>
        <v/>
      </c>
      <c r="T92" s="16" t="inlineStr">
        <is>
          <t>Medium</t>
        </is>
      </c>
      <c r="U92" s="16" t="inlineStr">
        <is>
          <t>Pending</t>
        </is>
      </c>
      <c r="V92" s="16" t="inlineStr"/>
      <c r="W92" s="16" t="inlineStr"/>
      <c r="X92" s="16" t="inlineStr"/>
    </row>
    <row r="93">
      <c r="A93" s="16" t="inlineStr"/>
      <c r="B93" s="16" t="inlineStr"/>
      <c r="C93" s="17" t="inlineStr"/>
      <c r="D93" s="17" t="inlineStr"/>
      <c r="E93" s="16" t="inlineStr"/>
      <c r="F93" s="16" t="inlineStr"/>
      <c r="G93" s="16" t="inlineStr"/>
      <c r="H93" s="16" t="inlineStr"/>
      <c r="I93" s="16" t="inlineStr"/>
      <c r="J93" s="16" t="inlineStr">
        <is>
          <t>Open</t>
        </is>
      </c>
      <c r="K93" s="16" t="inlineStr">
        <is>
          <t>Medium</t>
        </is>
      </c>
      <c r="L93" s="16" t="inlineStr">
        <is>
          <t>Medium</t>
        </is>
      </c>
      <c r="M93" s="16" t="inlineStr">
        <is>
          <t>Possible</t>
        </is>
      </c>
      <c r="N93" s="21">
        <f>IF(OR(L93="",M93=""),"",IF(L93="Critical",4,IF(L93="High",3,IF(L93="Medium",2,1)))*IF(M93="Almost Certain",5,IF(M93="Likely",4,IF(M93="Possible",3,IF(M93="Unlikely",2,1)))))</f>
        <v/>
      </c>
      <c r="O93" s="20" t="inlineStr"/>
      <c r="P93" s="20" t="inlineStr"/>
      <c r="Q93" s="20" t="inlineStr"/>
      <c r="R93" s="21">
        <f>IF(O93="","",IF(Q93&lt;&gt;"",Q93-O93,TODAY()-O93))</f>
        <v/>
      </c>
      <c r="S93" s="17">
        <f>IF(R93="","",IF(R93&lt;=30,"0-30 Days",IF(R93&lt;=60,"31-60 Days",IF(R93&lt;=90,"61-90 Days",IF(R93&lt;=180,"91-180 Days","181+ Days")))))</f>
        <v/>
      </c>
      <c r="T93" s="16" t="inlineStr">
        <is>
          <t>Medium</t>
        </is>
      </c>
      <c r="U93" s="16" t="inlineStr">
        <is>
          <t>Pending</t>
        </is>
      </c>
      <c r="V93" s="16" t="inlineStr"/>
      <c r="W93" s="16" t="inlineStr"/>
      <c r="X93" s="16" t="inlineStr"/>
    </row>
    <row r="94">
      <c r="A94" s="16" t="inlineStr"/>
      <c r="B94" s="16" t="inlineStr"/>
      <c r="C94" s="17" t="inlineStr"/>
      <c r="D94" s="17" t="inlineStr"/>
      <c r="E94" s="16" t="inlineStr"/>
      <c r="F94" s="16" t="inlineStr"/>
      <c r="G94" s="16" t="inlineStr"/>
      <c r="H94" s="16" t="inlineStr"/>
      <c r="I94" s="16" t="inlineStr"/>
      <c r="J94" s="16" t="inlineStr">
        <is>
          <t>Open</t>
        </is>
      </c>
      <c r="K94" s="16" t="inlineStr">
        <is>
          <t>Medium</t>
        </is>
      </c>
      <c r="L94" s="16" t="inlineStr">
        <is>
          <t>Medium</t>
        </is>
      </c>
      <c r="M94" s="16" t="inlineStr">
        <is>
          <t>Possible</t>
        </is>
      </c>
      <c r="N94" s="21">
        <f>IF(OR(L94="",M94=""),"",IF(L94="Critical",4,IF(L94="High",3,IF(L94="Medium",2,1)))*IF(M94="Almost Certain",5,IF(M94="Likely",4,IF(M94="Possible",3,IF(M94="Unlikely",2,1)))))</f>
        <v/>
      </c>
      <c r="O94" s="20" t="inlineStr"/>
      <c r="P94" s="20" t="inlineStr"/>
      <c r="Q94" s="20" t="inlineStr"/>
      <c r="R94" s="21">
        <f>IF(O94="","",IF(Q94&lt;&gt;"",Q94-O94,TODAY()-O94))</f>
        <v/>
      </c>
      <c r="S94" s="17">
        <f>IF(R94="","",IF(R94&lt;=30,"0-30 Days",IF(R94&lt;=60,"31-60 Days",IF(R94&lt;=90,"61-90 Days",IF(R94&lt;=180,"91-180 Days","181+ Days")))))</f>
        <v/>
      </c>
      <c r="T94" s="16" t="inlineStr">
        <is>
          <t>Medium</t>
        </is>
      </c>
      <c r="U94" s="16" t="inlineStr">
        <is>
          <t>Pending</t>
        </is>
      </c>
      <c r="V94" s="16" t="inlineStr"/>
      <c r="W94" s="16" t="inlineStr"/>
      <c r="X94" s="16" t="inlineStr"/>
    </row>
    <row r="95">
      <c r="A95" s="16" t="inlineStr"/>
      <c r="B95" s="16" t="inlineStr"/>
      <c r="C95" s="17" t="inlineStr"/>
      <c r="D95" s="17" t="inlineStr"/>
      <c r="E95" s="16" t="inlineStr"/>
      <c r="F95" s="16" t="inlineStr"/>
      <c r="G95" s="16" t="inlineStr"/>
      <c r="H95" s="16" t="inlineStr"/>
      <c r="I95" s="16" t="inlineStr"/>
      <c r="J95" s="16" t="inlineStr">
        <is>
          <t>Open</t>
        </is>
      </c>
      <c r="K95" s="16" t="inlineStr">
        <is>
          <t>Medium</t>
        </is>
      </c>
      <c r="L95" s="16" t="inlineStr">
        <is>
          <t>Medium</t>
        </is>
      </c>
      <c r="M95" s="16" t="inlineStr">
        <is>
          <t>Possible</t>
        </is>
      </c>
      <c r="N95" s="21">
        <f>IF(OR(L95="",M95=""),"",IF(L95="Critical",4,IF(L95="High",3,IF(L95="Medium",2,1)))*IF(M95="Almost Certain",5,IF(M95="Likely",4,IF(M95="Possible",3,IF(M95="Unlikely",2,1)))))</f>
        <v/>
      </c>
      <c r="O95" s="20" t="inlineStr"/>
      <c r="P95" s="20" t="inlineStr"/>
      <c r="Q95" s="20" t="inlineStr"/>
      <c r="R95" s="21">
        <f>IF(O95="","",IF(Q95&lt;&gt;"",Q95-O95,TODAY()-O95))</f>
        <v/>
      </c>
      <c r="S95" s="17">
        <f>IF(R95="","",IF(R95&lt;=30,"0-30 Days",IF(R95&lt;=60,"31-60 Days",IF(R95&lt;=90,"61-90 Days",IF(R95&lt;=180,"91-180 Days","181+ Days")))))</f>
        <v/>
      </c>
      <c r="T95" s="16" t="inlineStr">
        <is>
          <t>Medium</t>
        </is>
      </c>
      <c r="U95" s="16" t="inlineStr">
        <is>
          <t>Pending</t>
        </is>
      </c>
      <c r="V95" s="16" t="inlineStr"/>
      <c r="W95" s="16" t="inlineStr"/>
      <c r="X95" s="16" t="inlineStr"/>
    </row>
    <row r="96">
      <c r="A96" s="16" t="inlineStr"/>
      <c r="B96" s="16" t="inlineStr"/>
      <c r="C96" s="17" t="inlineStr"/>
      <c r="D96" s="17" t="inlineStr"/>
      <c r="E96" s="16" t="inlineStr"/>
      <c r="F96" s="16" t="inlineStr"/>
      <c r="G96" s="16" t="inlineStr"/>
      <c r="H96" s="16" t="inlineStr"/>
      <c r="I96" s="16" t="inlineStr"/>
      <c r="J96" s="16" t="inlineStr">
        <is>
          <t>Open</t>
        </is>
      </c>
      <c r="K96" s="16" t="inlineStr">
        <is>
          <t>Medium</t>
        </is>
      </c>
      <c r="L96" s="16" t="inlineStr">
        <is>
          <t>Medium</t>
        </is>
      </c>
      <c r="M96" s="16" t="inlineStr">
        <is>
          <t>Possible</t>
        </is>
      </c>
      <c r="N96" s="21">
        <f>IF(OR(L96="",M96=""),"",IF(L96="Critical",4,IF(L96="High",3,IF(L96="Medium",2,1)))*IF(M96="Almost Certain",5,IF(M96="Likely",4,IF(M96="Possible",3,IF(M96="Unlikely",2,1)))))</f>
        <v/>
      </c>
      <c r="O96" s="20" t="inlineStr"/>
      <c r="P96" s="20" t="inlineStr"/>
      <c r="Q96" s="20" t="inlineStr"/>
      <c r="R96" s="21">
        <f>IF(O96="","",IF(Q96&lt;&gt;"",Q96-O96,TODAY()-O96))</f>
        <v/>
      </c>
      <c r="S96" s="17">
        <f>IF(R96="","",IF(R96&lt;=30,"0-30 Days",IF(R96&lt;=60,"31-60 Days",IF(R96&lt;=90,"61-90 Days",IF(R96&lt;=180,"91-180 Days","181+ Days")))))</f>
        <v/>
      </c>
      <c r="T96" s="16" t="inlineStr">
        <is>
          <t>Medium</t>
        </is>
      </c>
      <c r="U96" s="16" t="inlineStr">
        <is>
          <t>Pending</t>
        </is>
      </c>
      <c r="V96" s="16" t="inlineStr"/>
      <c r="W96" s="16" t="inlineStr"/>
      <c r="X96" s="16" t="inlineStr"/>
    </row>
    <row r="97">
      <c r="A97" s="16" t="inlineStr"/>
      <c r="B97" s="16" t="inlineStr"/>
      <c r="C97" s="17" t="inlineStr"/>
      <c r="D97" s="17" t="inlineStr"/>
      <c r="E97" s="16" t="inlineStr"/>
      <c r="F97" s="16" t="inlineStr"/>
      <c r="G97" s="16" t="inlineStr"/>
      <c r="H97" s="16" t="inlineStr"/>
      <c r="I97" s="16" t="inlineStr"/>
      <c r="J97" s="16" t="inlineStr">
        <is>
          <t>Open</t>
        </is>
      </c>
      <c r="K97" s="16" t="inlineStr">
        <is>
          <t>Medium</t>
        </is>
      </c>
      <c r="L97" s="16" t="inlineStr">
        <is>
          <t>Medium</t>
        </is>
      </c>
      <c r="M97" s="16" t="inlineStr">
        <is>
          <t>Possible</t>
        </is>
      </c>
      <c r="N97" s="21">
        <f>IF(OR(L97="",M97=""),"",IF(L97="Critical",4,IF(L97="High",3,IF(L97="Medium",2,1)))*IF(M97="Almost Certain",5,IF(M97="Likely",4,IF(M97="Possible",3,IF(M97="Unlikely",2,1)))))</f>
        <v/>
      </c>
      <c r="O97" s="20" t="inlineStr"/>
      <c r="P97" s="20" t="inlineStr"/>
      <c r="Q97" s="20" t="inlineStr"/>
      <c r="R97" s="21">
        <f>IF(O97="","",IF(Q97&lt;&gt;"",Q97-O97,TODAY()-O97))</f>
        <v/>
      </c>
      <c r="S97" s="17">
        <f>IF(R97="","",IF(R97&lt;=30,"0-30 Days",IF(R97&lt;=60,"31-60 Days",IF(R97&lt;=90,"61-90 Days",IF(R97&lt;=180,"91-180 Days","181+ Days")))))</f>
        <v/>
      </c>
      <c r="T97" s="16" t="inlineStr">
        <is>
          <t>Medium</t>
        </is>
      </c>
      <c r="U97" s="16" t="inlineStr">
        <is>
          <t>Pending</t>
        </is>
      </c>
      <c r="V97" s="16" t="inlineStr"/>
      <c r="W97" s="16" t="inlineStr"/>
      <c r="X97" s="16" t="inlineStr"/>
    </row>
    <row r="98">
      <c r="A98" s="16" t="inlineStr"/>
      <c r="B98" s="16" t="inlineStr"/>
      <c r="C98" s="17" t="inlineStr"/>
      <c r="D98" s="17" t="inlineStr"/>
      <c r="E98" s="16" t="inlineStr"/>
      <c r="F98" s="16" t="inlineStr"/>
      <c r="G98" s="16" t="inlineStr"/>
      <c r="H98" s="16" t="inlineStr"/>
      <c r="I98" s="16" t="inlineStr"/>
      <c r="J98" s="16" t="inlineStr">
        <is>
          <t>Open</t>
        </is>
      </c>
      <c r="K98" s="16" t="inlineStr">
        <is>
          <t>Medium</t>
        </is>
      </c>
      <c r="L98" s="16" t="inlineStr">
        <is>
          <t>Medium</t>
        </is>
      </c>
      <c r="M98" s="16" t="inlineStr">
        <is>
          <t>Possible</t>
        </is>
      </c>
      <c r="N98" s="21">
        <f>IF(OR(L98="",M98=""),"",IF(L98="Critical",4,IF(L98="High",3,IF(L98="Medium",2,1)))*IF(M98="Almost Certain",5,IF(M98="Likely",4,IF(M98="Possible",3,IF(M98="Unlikely",2,1)))))</f>
        <v/>
      </c>
      <c r="O98" s="20" t="inlineStr"/>
      <c r="P98" s="20" t="inlineStr"/>
      <c r="Q98" s="20" t="inlineStr"/>
      <c r="R98" s="21">
        <f>IF(O98="","",IF(Q98&lt;&gt;"",Q98-O98,TODAY()-O98))</f>
        <v/>
      </c>
      <c r="S98" s="17">
        <f>IF(R98="","",IF(R98&lt;=30,"0-30 Days",IF(R98&lt;=60,"31-60 Days",IF(R98&lt;=90,"61-90 Days",IF(R98&lt;=180,"91-180 Days","181+ Days")))))</f>
        <v/>
      </c>
      <c r="T98" s="16" t="inlineStr">
        <is>
          <t>Medium</t>
        </is>
      </c>
      <c r="U98" s="16" t="inlineStr">
        <is>
          <t>Pending</t>
        </is>
      </c>
      <c r="V98" s="16" t="inlineStr"/>
      <c r="W98" s="16" t="inlineStr"/>
      <c r="X98" s="16" t="inlineStr"/>
    </row>
    <row r="99">
      <c r="A99" s="16" t="inlineStr"/>
      <c r="B99" s="16" t="inlineStr"/>
      <c r="C99" s="17" t="inlineStr"/>
      <c r="D99" s="17" t="inlineStr"/>
      <c r="E99" s="16" t="inlineStr"/>
      <c r="F99" s="16" t="inlineStr"/>
      <c r="G99" s="16" t="inlineStr"/>
      <c r="H99" s="16" t="inlineStr"/>
      <c r="I99" s="16" t="inlineStr"/>
      <c r="J99" s="16" t="inlineStr">
        <is>
          <t>Open</t>
        </is>
      </c>
      <c r="K99" s="16" t="inlineStr">
        <is>
          <t>Medium</t>
        </is>
      </c>
      <c r="L99" s="16" t="inlineStr">
        <is>
          <t>Medium</t>
        </is>
      </c>
      <c r="M99" s="16" t="inlineStr">
        <is>
          <t>Possible</t>
        </is>
      </c>
      <c r="N99" s="21">
        <f>IF(OR(L99="",M99=""),"",IF(L99="Critical",4,IF(L99="High",3,IF(L99="Medium",2,1)))*IF(M99="Almost Certain",5,IF(M99="Likely",4,IF(M99="Possible",3,IF(M99="Unlikely",2,1)))))</f>
        <v/>
      </c>
      <c r="O99" s="20" t="inlineStr"/>
      <c r="P99" s="20" t="inlineStr"/>
      <c r="Q99" s="20" t="inlineStr"/>
      <c r="R99" s="21">
        <f>IF(O99="","",IF(Q99&lt;&gt;"",Q99-O99,TODAY()-O99))</f>
        <v/>
      </c>
      <c r="S99" s="17">
        <f>IF(R99="","",IF(R99&lt;=30,"0-30 Days",IF(R99&lt;=60,"31-60 Days",IF(R99&lt;=90,"61-90 Days",IF(R99&lt;=180,"91-180 Days","181+ Days")))))</f>
        <v/>
      </c>
      <c r="T99" s="16" t="inlineStr">
        <is>
          <t>Medium</t>
        </is>
      </c>
      <c r="U99" s="16" t="inlineStr">
        <is>
          <t>Pending</t>
        </is>
      </c>
      <c r="V99" s="16" t="inlineStr"/>
      <c r="W99" s="16" t="inlineStr"/>
      <c r="X99" s="16" t="inlineStr"/>
    </row>
    <row r="100">
      <c r="A100" s="16" t="inlineStr"/>
      <c r="B100" s="16" t="inlineStr"/>
      <c r="C100" s="17" t="inlineStr"/>
      <c r="D100" s="17" t="inlineStr"/>
      <c r="E100" s="16" t="inlineStr"/>
      <c r="F100" s="16" t="inlineStr"/>
      <c r="G100" s="16" t="inlineStr"/>
      <c r="H100" s="16" t="inlineStr"/>
      <c r="I100" s="16" t="inlineStr"/>
      <c r="J100" s="16" t="inlineStr">
        <is>
          <t>Open</t>
        </is>
      </c>
      <c r="K100" s="16" t="inlineStr">
        <is>
          <t>Medium</t>
        </is>
      </c>
      <c r="L100" s="16" t="inlineStr">
        <is>
          <t>Medium</t>
        </is>
      </c>
      <c r="M100" s="16" t="inlineStr">
        <is>
          <t>Possible</t>
        </is>
      </c>
      <c r="N100" s="21">
        <f>IF(OR(L100="",M100=""),"",IF(L100="Critical",4,IF(L100="High",3,IF(L100="Medium",2,1)))*IF(M100="Almost Certain",5,IF(M100="Likely",4,IF(M100="Possible",3,IF(M100="Unlikely",2,1)))))</f>
        <v/>
      </c>
      <c r="O100" s="20" t="inlineStr"/>
      <c r="P100" s="20" t="inlineStr"/>
      <c r="Q100" s="20" t="inlineStr"/>
      <c r="R100" s="21">
        <f>IF(O100="","",IF(Q100&lt;&gt;"",Q100-O100,TODAY()-O100))</f>
        <v/>
      </c>
      <c r="S100" s="17">
        <f>IF(R100="","",IF(R100&lt;=30,"0-30 Days",IF(R100&lt;=60,"31-60 Days",IF(R100&lt;=90,"61-90 Days",IF(R100&lt;=180,"91-180 Days","181+ Days")))))</f>
        <v/>
      </c>
      <c r="T100" s="16" t="inlineStr">
        <is>
          <t>Medium</t>
        </is>
      </c>
      <c r="U100" s="16" t="inlineStr">
        <is>
          <t>Pending</t>
        </is>
      </c>
      <c r="V100" s="16" t="inlineStr"/>
      <c r="W100" s="16" t="inlineStr"/>
      <c r="X100" s="16" t="inlineStr"/>
    </row>
    <row r="101">
      <c r="A101" s="16" t="inlineStr"/>
      <c r="B101" s="16" t="inlineStr"/>
      <c r="C101" s="17" t="inlineStr"/>
      <c r="D101" s="17" t="inlineStr"/>
      <c r="E101" s="16" t="inlineStr"/>
      <c r="F101" s="16" t="inlineStr"/>
      <c r="G101" s="16" t="inlineStr"/>
      <c r="H101" s="16" t="inlineStr"/>
      <c r="I101" s="16" t="inlineStr"/>
      <c r="J101" s="16" t="inlineStr">
        <is>
          <t>Open</t>
        </is>
      </c>
      <c r="K101" s="16" t="inlineStr">
        <is>
          <t>Medium</t>
        </is>
      </c>
      <c r="L101" s="16" t="inlineStr">
        <is>
          <t>Medium</t>
        </is>
      </c>
      <c r="M101" s="16" t="inlineStr">
        <is>
          <t>Possible</t>
        </is>
      </c>
      <c r="N101" s="21">
        <f>IF(OR(L101="",M101=""),"",IF(L101="Critical",4,IF(L101="High",3,IF(L101="Medium",2,1)))*IF(M101="Almost Certain",5,IF(M101="Likely",4,IF(M101="Possible",3,IF(M101="Unlikely",2,1)))))</f>
        <v/>
      </c>
      <c r="O101" s="20" t="inlineStr"/>
      <c r="P101" s="20" t="inlineStr"/>
      <c r="Q101" s="20" t="inlineStr"/>
      <c r="R101" s="21">
        <f>IF(O101="","",IF(Q101&lt;&gt;"",Q101-O101,TODAY()-O101))</f>
        <v/>
      </c>
      <c r="S101" s="17">
        <f>IF(R101="","",IF(R101&lt;=30,"0-30 Days",IF(R101&lt;=60,"31-60 Days",IF(R101&lt;=90,"61-90 Days",IF(R101&lt;=180,"91-180 Days","181+ Days")))))</f>
        <v/>
      </c>
      <c r="T101" s="16" t="inlineStr">
        <is>
          <t>Medium</t>
        </is>
      </c>
      <c r="U101" s="16" t="inlineStr">
        <is>
          <t>Pending</t>
        </is>
      </c>
      <c r="V101" s="16" t="inlineStr"/>
      <c r="W101" s="16" t="inlineStr"/>
      <c r="X101" s="16" t="inlineStr"/>
    </row>
    <row r="102">
      <c r="A102" s="16" t="inlineStr"/>
      <c r="B102" s="16" t="inlineStr"/>
      <c r="C102" s="17" t="inlineStr"/>
      <c r="D102" s="17" t="inlineStr"/>
      <c r="E102" s="16" t="inlineStr"/>
      <c r="F102" s="16" t="inlineStr"/>
      <c r="G102" s="16" t="inlineStr"/>
      <c r="H102" s="16" t="inlineStr"/>
      <c r="I102" s="16" t="inlineStr"/>
      <c r="J102" s="16" t="inlineStr">
        <is>
          <t>Open</t>
        </is>
      </c>
      <c r="K102" s="16" t="inlineStr">
        <is>
          <t>Medium</t>
        </is>
      </c>
      <c r="L102" s="16" t="inlineStr">
        <is>
          <t>Medium</t>
        </is>
      </c>
      <c r="M102" s="16" t="inlineStr">
        <is>
          <t>Possible</t>
        </is>
      </c>
      <c r="N102" s="21">
        <f>IF(OR(L102="",M102=""),"",IF(L102="Critical",4,IF(L102="High",3,IF(L102="Medium",2,1)))*IF(M102="Almost Certain",5,IF(M102="Likely",4,IF(M102="Possible",3,IF(M102="Unlikely",2,1)))))</f>
        <v/>
      </c>
      <c r="O102" s="20" t="inlineStr"/>
      <c r="P102" s="20" t="inlineStr"/>
      <c r="Q102" s="20" t="inlineStr"/>
      <c r="R102" s="21">
        <f>IF(O102="","",IF(Q102&lt;&gt;"",Q102-O102,TODAY()-O102))</f>
        <v/>
      </c>
      <c r="S102" s="17">
        <f>IF(R102="","",IF(R102&lt;=30,"0-30 Days",IF(R102&lt;=60,"31-60 Days",IF(R102&lt;=90,"61-90 Days",IF(R102&lt;=180,"91-180 Days","181+ Days")))))</f>
        <v/>
      </c>
      <c r="T102" s="16" t="inlineStr">
        <is>
          <t>Medium</t>
        </is>
      </c>
      <c r="U102" s="16" t="inlineStr">
        <is>
          <t>Pending</t>
        </is>
      </c>
      <c r="V102" s="16" t="inlineStr"/>
      <c r="W102" s="16" t="inlineStr"/>
      <c r="X102" s="16" t="inlineStr"/>
    </row>
    <row r="103">
      <c r="A103" s="16" t="inlineStr"/>
      <c r="B103" s="16" t="inlineStr"/>
      <c r="C103" s="17" t="inlineStr"/>
      <c r="D103" s="17" t="inlineStr"/>
      <c r="E103" s="16" t="inlineStr"/>
      <c r="F103" s="16" t="inlineStr"/>
      <c r="G103" s="16" t="inlineStr"/>
      <c r="H103" s="16" t="inlineStr"/>
      <c r="I103" s="16" t="inlineStr"/>
      <c r="J103" s="16" t="inlineStr">
        <is>
          <t>Open</t>
        </is>
      </c>
      <c r="K103" s="16" t="inlineStr">
        <is>
          <t>Medium</t>
        </is>
      </c>
      <c r="L103" s="16" t="inlineStr">
        <is>
          <t>Medium</t>
        </is>
      </c>
      <c r="M103" s="16" t="inlineStr">
        <is>
          <t>Possible</t>
        </is>
      </c>
      <c r="N103" s="21">
        <f>IF(OR(L103="",M103=""),"",IF(L103="Critical",4,IF(L103="High",3,IF(L103="Medium",2,1)))*IF(M103="Almost Certain",5,IF(M103="Likely",4,IF(M103="Possible",3,IF(M103="Unlikely",2,1)))))</f>
        <v/>
      </c>
      <c r="O103" s="20" t="inlineStr"/>
      <c r="P103" s="20" t="inlineStr"/>
      <c r="Q103" s="20" t="inlineStr"/>
      <c r="R103" s="21">
        <f>IF(O103="","",IF(Q103&lt;&gt;"",Q103-O103,TODAY()-O103))</f>
        <v/>
      </c>
      <c r="S103" s="17">
        <f>IF(R103="","",IF(R103&lt;=30,"0-30 Days",IF(R103&lt;=60,"31-60 Days",IF(R103&lt;=90,"61-90 Days",IF(R103&lt;=180,"91-180 Days","181+ Days")))))</f>
        <v/>
      </c>
      <c r="T103" s="16" t="inlineStr">
        <is>
          <t>Medium</t>
        </is>
      </c>
      <c r="U103" s="16" t="inlineStr">
        <is>
          <t>Pending</t>
        </is>
      </c>
      <c r="V103" s="16" t="inlineStr"/>
      <c r="W103" s="16" t="inlineStr"/>
      <c r="X103" s="16" t="inlineStr"/>
    </row>
    <row r="104">
      <c r="A104" s="16" t="inlineStr"/>
      <c r="B104" s="16" t="inlineStr"/>
      <c r="C104" s="17" t="inlineStr"/>
      <c r="D104" s="17" t="inlineStr"/>
      <c r="E104" s="16" t="inlineStr"/>
      <c r="F104" s="16" t="inlineStr"/>
      <c r="G104" s="16" t="inlineStr"/>
      <c r="H104" s="16" t="inlineStr"/>
      <c r="I104" s="16" t="inlineStr"/>
      <c r="J104" s="16" t="inlineStr">
        <is>
          <t>Open</t>
        </is>
      </c>
      <c r="K104" s="16" t="inlineStr">
        <is>
          <t>Medium</t>
        </is>
      </c>
      <c r="L104" s="16" t="inlineStr">
        <is>
          <t>Medium</t>
        </is>
      </c>
      <c r="M104" s="16" t="inlineStr">
        <is>
          <t>Possible</t>
        </is>
      </c>
      <c r="N104" s="21">
        <f>IF(OR(L104="",M104=""),"",IF(L104="Critical",4,IF(L104="High",3,IF(L104="Medium",2,1)))*IF(M104="Almost Certain",5,IF(M104="Likely",4,IF(M104="Possible",3,IF(M104="Unlikely",2,1)))))</f>
        <v/>
      </c>
      <c r="O104" s="20" t="inlineStr"/>
      <c r="P104" s="20" t="inlineStr"/>
      <c r="Q104" s="20" t="inlineStr"/>
      <c r="R104" s="21">
        <f>IF(O104="","",IF(Q104&lt;&gt;"",Q104-O104,TODAY()-O104))</f>
        <v/>
      </c>
      <c r="S104" s="17">
        <f>IF(R104="","",IF(R104&lt;=30,"0-30 Days",IF(R104&lt;=60,"31-60 Days",IF(R104&lt;=90,"61-90 Days",IF(R104&lt;=180,"91-180 Days","181+ Days")))))</f>
        <v/>
      </c>
      <c r="T104" s="16" t="inlineStr">
        <is>
          <t>Medium</t>
        </is>
      </c>
      <c r="U104" s="16" t="inlineStr">
        <is>
          <t>Pending</t>
        </is>
      </c>
      <c r="V104" s="16" t="inlineStr"/>
      <c r="W104" s="16" t="inlineStr"/>
      <c r="X104" s="16" t="inlineStr"/>
    </row>
    <row r="105">
      <c r="A105" s="16" t="inlineStr"/>
      <c r="B105" s="16" t="inlineStr"/>
      <c r="C105" s="17" t="inlineStr"/>
      <c r="D105" s="17" t="inlineStr"/>
      <c r="E105" s="16" t="inlineStr"/>
      <c r="F105" s="16" t="inlineStr"/>
      <c r="G105" s="16" t="inlineStr"/>
      <c r="H105" s="16" t="inlineStr"/>
      <c r="I105" s="16" t="inlineStr"/>
      <c r="J105" s="16" t="inlineStr">
        <is>
          <t>Open</t>
        </is>
      </c>
      <c r="K105" s="16" t="inlineStr">
        <is>
          <t>Medium</t>
        </is>
      </c>
      <c r="L105" s="16" t="inlineStr">
        <is>
          <t>Medium</t>
        </is>
      </c>
      <c r="M105" s="16" t="inlineStr">
        <is>
          <t>Possible</t>
        </is>
      </c>
      <c r="N105" s="21">
        <f>IF(OR(L105="",M105=""),"",IF(L105="Critical",4,IF(L105="High",3,IF(L105="Medium",2,1)))*IF(M105="Almost Certain",5,IF(M105="Likely",4,IF(M105="Possible",3,IF(M105="Unlikely",2,1)))))</f>
        <v/>
      </c>
      <c r="O105" s="20" t="inlineStr"/>
      <c r="P105" s="20" t="inlineStr"/>
      <c r="Q105" s="20" t="inlineStr"/>
      <c r="R105" s="21">
        <f>IF(O105="","",IF(Q105&lt;&gt;"",Q105-O105,TODAY()-O105))</f>
        <v/>
      </c>
      <c r="S105" s="17">
        <f>IF(R105="","",IF(R105&lt;=30,"0-30 Days",IF(R105&lt;=60,"31-60 Days",IF(R105&lt;=90,"61-90 Days",IF(R105&lt;=180,"91-180 Days","181+ Days")))))</f>
        <v/>
      </c>
      <c r="T105" s="16" t="inlineStr">
        <is>
          <t>Medium</t>
        </is>
      </c>
      <c r="U105" s="16" t="inlineStr">
        <is>
          <t>Pending</t>
        </is>
      </c>
      <c r="V105" s="16" t="inlineStr"/>
      <c r="W105" s="16" t="inlineStr"/>
      <c r="X105" s="16" t="inlineStr"/>
    </row>
    <row r="106">
      <c r="A106" s="16" t="inlineStr"/>
      <c r="B106" s="16" t="inlineStr"/>
      <c r="C106" s="17" t="inlineStr"/>
      <c r="D106" s="17" t="inlineStr"/>
      <c r="E106" s="16" t="inlineStr"/>
      <c r="F106" s="16" t="inlineStr"/>
      <c r="G106" s="16" t="inlineStr"/>
      <c r="H106" s="16" t="inlineStr"/>
      <c r="I106" s="16" t="inlineStr"/>
      <c r="J106" s="16" t="inlineStr">
        <is>
          <t>Open</t>
        </is>
      </c>
      <c r="K106" s="16" t="inlineStr">
        <is>
          <t>Medium</t>
        </is>
      </c>
      <c r="L106" s="16" t="inlineStr">
        <is>
          <t>Medium</t>
        </is>
      </c>
      <c r="M106" s="16" t="inlineStr">
        <is>
          <t>Possible</t>
        </is>
      </c>
      <c r="N106" s="21">
        <f>IF(OR(L106="",M106=""),"",IF(L106="Critical",4,IF(L106="High",3,IF(L106="Medium",2,1)))*IF(M106="Almost Certain",5,IF(M106="Likely",4,IF(M106="Possible",3,IF(M106="Unlikely",2,1)))))</f>
        <v/>
      </c>
      <c r="O106" s="20" t="inlineStr"/>
      <c r="P106" s="20" t="inlineStr"/>
      <c r="Q106" s="20" t="inlineStr"/>
      <c r="R106" s="21">
        <f>IF(O106="","",IF(Q106&lt;&gt;"",Q106-O106,TODAY()-O106))</f>
        <v/>
      </c>
      <c r="S106" s="17">
        <f>IF(R106="","",IF(R106&lt;=30,"0-30 Days",IF(R106&lt;=60,"31-60 Days",IF(R106&lt;=90,"61-90 Days",IF(R106&lt;=180,"91-180 Days","181+ Days")))))</f>
        <v/>
      </c>
      <c r="T106" s="16" t="inlineStr">
        <is>
          <t>Medium</t>
        </is>
      </c>
      <c r="U106" s="16" t="inlineStr">
        <is>
          <t>Pending</t>
        </is>
      </c>
      <c r="V106" s="16" t="inlineStr"/>
      <c r="W106" s="16" t="inlineStr"/>
      <c r="X106" s="16" t="inlineStr"/>
    </row>
    <row r="107">
      <c r="A107" s="16" t="inlineStr"/>
      <c r="B107" s="16" t="inlineStr"/>
      <c r="C107" s="17" t="inlineStr"/>
      <c r="D107" s="17" t="inlineStr"/>
      <c r="E107" s="16" t="inlineStr"/>
      <c r="F107" s="16" t="inlineStr"/>
      <c r="G107" s="16" t="inlineStr"/>
      <c r="H107" s="16" t="inlineStr"/>
      <c r="I107" s="16" t="inlineStr"/>
      <c r="J107" s="16" t="inlineStr">
        <is>
          <t>Open</t>
        </is>
      </c>
      <c r="K107" s="16" t="inlineStr">
        <is>
          <t>Medium</t>
        </is>
      </c>
      <c r="L107" s="16" t="inlineStr">
        <is>
          <t>Medium</t>
        </is>
      </c>
      <c r="M107" s="16" t="inlineStr">
        <is>
          <t>Possible</t>
        </is>
      </c>
      <c r="N107" s="21">
        <f>IF(OR(L107="",M107=""),"",IF(L107="Critical",4,IF(L107="High",3,IF(L107="Medium",2,1)))*IF(M107="Almost Certain",5,IF(M107="Likely",4,IF(M107="Possible",3,IF(M107="Unlikely",2,1)))))</f>
        <v/>
      </c>
      <c r="O107" s="20" t="inlineStr"/>
      <c r="P107" s="20" t="inlineStr"/>
      <c r="Q107" s="20" t="inlineStr"/>
      <c r="R107" s="21">
        <f>IF(O107="","",IF(Q107&lt;&gt;"",Q107-O107,TODAY()-O107))</f>
        <v/>
      </c>
      <c r="S107" s="17">
        <f>IF(R107="","",IF(R107&lt;=30,"0-30 Days",IF(R107&lt;=60,"31-60 Days",IF(R107&lt;=90,"61-90 Days",IF(R107&lt;=180,"91-180 Days","181+ Days")))))</f>
        <v/>
      </c>
      <c r="T107" s="16" t="inlineStr">
        <is>
          <t>Medium</t>
        </is>
      </c>
      <c r="U107" s="16" t="inlineStr">
        <is>
          <t>Pending</t>
        </is>
      </c>
      <c r="V107" s="16" t="inlineStr"/>
      <c r="W107" s="16" t="inlineStr"/>
      <c r="X107" s="16" t="inlineStr"/>
    </row>
    <row r="108">
      <c r="A108" s="16" t="inlineStr"/>
      <c r="B108" s="16" t="inlineStr"/>
      <c r="C108" s="17" t="inlineStr"/>
      <c r="D108" s="17" t="inlineStr"/>
      <c r="E108" s="16" t="inlineStr"/>
      <c r="F108" s="16" t="inlineStr"/>
      <c r="G108" s="16" t="inlineStr"/>
      <c r="H108" s="16" t="inlineStr"/>
      <c r="I108" s="16" t="inlineStr"/>
      <c r="J108" s="16" t="inlineStr">
        <is>
          <t>Open</t>
        </is>
      </c>
      <c r="K108" s="16" t="inlineStr">
        <is>
          <t>Medium</t>
        </is>
      </c>
      <c r="L108" s="16" t="inlineStr">
        <is>
          <t>Medium</t>
        </is>
      </c>
      <c r="M108" s="16" t="inlineStr">
        <is>
          <t>Possible</t>
        </is>
      </c>
      <c r="N108" s="21">
        <f>IF(OR(L108="",M108=""),"",IF(L108="Critical",4,IF(L108="High",3,IF(L108="Medium",2,1)))*IF(M108="Almost Certain",5,IF(M108="Likely",4,IF(M108="Possible",3,IF(M108="Unlikely",2,1)))))</f>
        <v/>
      </c>
      <c r="O108" s="20" t="inlineStr"/>
      <c r="P108" s="20" t="inlineStr"/>
      <c r="Q108" s="20" t="inlineStr"/>
      <c r="R108" s="21">
        <f>IF(O108="","",IF(Q108&lt;&gt;"",Q108-O108,TODAY()-O108))</f>
        <v/>
      </c>
      <c r="S108" s="17">
        <f>IF(R108="","",IF(R108&lt;=30,"0-30 Days",IF(R108&lt;=60,"31-60 Days",IF(R108&lt;=90,"61-90 Days",IF(R108&lt;=180,"91-180 Days","181+ Days")))))</f>
        <v/>
      </c>
      <c r="T108" s="16" t="inlineStr">
        <is>
          <t>Medium</t>
        </is>
      </c>
      <c r="U108" s="16" t="inlineStr">
        <is>
          <t>Pending</t>
        </is>
      </c>
      <c r="V108" s="16" t="inlineStr"/>
      <c r="W108" s="16" t="inlineStr"/>
      <c r="X108" s="16" t="inlineStr"/>
    </row>
    <row r="109">
      <c r="A109" s="16" t="inlineStr"/>
      <c r="B109" s="16" t="inlineStr"/>
      <c r="C109" s="17" t="inlineStr"/>
      <c r="D109" s="17" t="inlineStr"/>
      <c r="E109" s="16" t="inlineStr"/>
      <c r="F109" s="16" t="inlineStr"/>
      <c r="G109" s="16" t="inlineStr"/>
      <c r="H109" s="16" t="inlineStr"/>
      <c r="I109" s="16" t="inlineStr"/>
      <c r="J109" s="16" t="inlineStr">
        <is>
          <t>Open</t>
        </is>
      </c>
      <c r="K109" s="16" t="inlineStr">
        <is>
          <t>Medium</t>
        </is>
      </c>
      <c r="L109" s="16" t="inlineStr">
        <is>
          <t>Medium</t>
        </is>
      </c>
      <c r="M109" s="16" t="inlineStr">
        <is>
          <t>Possible</t>
        </is>
      </c>
      <c r="N109" s="21">
        <f>IF(OR(L109="",M109=""),"",IF(L109="Critical",4,IF(L109="High",3,IF(L109="Medium",2,1)))*IF(M109="Almost Certain",5,IF(M109="Likely",4,IF(M109="Possible",3,IF(M109="Unlikely",2,1)))))</f>
        <v/>
      </c>
      <c r="O109" s="20" t="inlineStr"/>
      <c r="P109" s="20" t="inlineStr"/>
      <c r="Q109" s="20" t="inlineStr"/>
      <c r="R109" s="21">
        <f>IF(O109="","",IF(Q109&lt;&gt;"",Q109-O109,TODAY()-O109))</f>
        <v/>
      </c>
      <c r="S109" s="17">
        <f>IF(R109="","",IF(R109&lt;=30,"0-30 Days",IF(R109&lt;=60,"31-60 Days",IF(R109&lt;=90,"61-90 Days",IF(R109&lt;=180,"91-180 Days","181+ Days")))))</f>
        <v/>
      </c>
      <c r="T109" s="16" t="inlineStr">
        <is>
          <t>Medium</t>
        </is>
      </c>
      <c r="U109" s="16" t="inlineStr">
        <is>
          <t>Pending</t>
        </is>
      </c>
      <c r="V109" s="16" t="inlineStr"/>
      <c r="W109" s="16" t="inlineStr"/>
      <c r="X109" s="16" t="inlineStr"/>
    </row>
    <row r="110">
      <c r="A110" s="16" t="inlineStr"/>
      <c r="B110" s="16" t="inlineStr"/>
      <c r="C110" s="17" t="inlineStr"/>
      <c r="D110" s="17" t="inlineStr"/>
      <c r="E110" s="16" t="inlineStr"/>
      <c r="F110" s="16" t="inlineStr"/>
      <c r="G110" s="16" t="inlineStr"/>
      <c r="H110" s="16" t="inlineStr"/>
      <c r="I110" s="16" t="inlineStr"/>
      <c r="J110" s="16" t="inlineStr">
        <is>
          <t>Open</t>
        </is>
      </c>
      <c r="K110" s="16" t="inlineStr">
        <is>
          <t>Medium</t>
        </is>
      </c>
      <c r="L110" s="16" t="inlineStr">
        <is>
          <t>Medium</t>
        </is>
      </c>
      <c r="M110" s="16" t="inlineStr">
        <is>
          <t>Possible</t>
        </is>
      </c>
      <c r="N110" s="21">
        <f>IF(OR(L110="",M110=""),"",IF(L110="Critical",4,IF(L110="High",3,IF(L110="Medium",2,1)))*IF(M110="Almost Certain",5,IF(M110="Likely",4,IF(M110="Possible",3,IF(M110="Unlikely",2,1)))))</f>
        <v/>
      </c>
      <c r="O110" s="20" t="inlineStr"/>
      <c r="P110" s="20" t="inlineStr"/>
      <c r="Q110" s="20" t="inlineStr"/>
      <c r="R110" s="21">
        <f>IF(O110="","",IF(Q110&lt;&gt;"",Q110-O110,TODAY()-O110))</f>
        <v/>
      </c>
      <c r="S110" s="17">
        <f>IF(R110="","",IF(R110&lt;=30,"0-30 Days",IF(R110&lt;=60,"31-60 Days",IF(R110&lt;=90,"61-90 Days",IF(R110&lt;=180,"91-180 Days","181+ Days")))))</f>
        <v/>
      </c>
      <c r="T110" s="16" t="inlineStr">
        <is>
          <t>Medium</t>
        </is>
      </c>
      <c r="U110" s="16" t="inlineStr">
        <is>
          <t>Pending</t>
        </is>
      </c>
      <c r="V110" s="16" t="inlineStr"/>
      <c r="W110" s="16" t="inlineStr"/>
      <c r="X110" s="16" t="inlineStr"/>
    </row>
    <row r="111">
      <c r="A111" s="16" t="inlineStr"/>
      <c r="B111" s="16" t="inlineStr"/>
      <c r="C111" s="17" t="inlineStr"/>
      <c r="D111" s="17" t="inlineStr"/>
      <c r="E111" s="16" t="inlineStr"/>
      <c r="F111" s="16" t="inlineStr"/>
      <c r="G111" s="16" t="inlineStr"/>
      <c r="H111" s="16" t="inlineStr"/>
      <c r="I111" s="16" t="inlineStr"/>
      <c r="J111" s="16" t="inlineStr">
        <is>
          <t>Open</t>
        </is>
      </c>
      <c r="K111" s="16" t="inlineStr">
        <is>
          <t>Medium</t>
        </is>
      </c>
      <c r="L111" s="16" t="inlineStr">
        <is>
          <t>Medium</t>
        </is>
      </c>
      <c r="M111" s="16" t="inlineStr">
        <is>
          <t>Possible</t>
        </is>
      </c>
      <c r="N111" s="21">
        <f>IF(OR(L111="",M111=""),"",IF(L111="Critical",4,IF(L111="High",3,IF(L111="Medium",2,1)))*IF(M111="Almost Certain",5,IF(M111="Likely",4,IF(M111="Possible",3,IF(M111="Unlikely",2,1)))))</f>
        <v/>
      </c>
      <c r="O111" s="20" t="inlineStr"/>
      <c r="P111" s="20" t="inlineStr"/>
      <c r="Q111" s="20" t="inlineStr"/>
      <c r="R111" s="21">
        <f>IF(O111="","",IF(Q111&lt;&gt;"",Q111-O111,TODAY()-O111))</f>
        <v/>
      </c>
      <c r="S111" s="17">
        <f>IF(R111="","",IF(R111&lt;=30,"0-30 Days",IF(R111&lt;=60,"31-60 Days",IF(R111&lt;=90,"61-90 Days",IF(R111&lt;=180,"91-180 Days","181+ Days")))))</f>
        <v/>
      </c>
      <c r="T111" s="16" t="inlineStr">
        <is>
          <t>Medium</t>
        </is>
      </c>
      <c r="U111" s="16" t="inlineStr">
        <is>
          <t>Pending</t>
        </is>
      </c>
      <c r="V111" s="16" t="inlineStr"/>
      <c r="W111" s="16" t="inlineStr"/>
      <c r="X111" s="16" t="inlineStr"/>
    </row>
    <row r="112">
      <c r="A112" s="16" t="inlineStr"/>
      <c r="B112" s="16" t="inlineStr"/>
      <c r="C112" s="17" t="inlineStr"/>
      <c r="D112" s="17" t="inlineStr"/>
      <c r="E112" s="16" t="inlineStr"/>
      <c r="F112" s="16" t="inlineStr"/>
      <c r="G112" s="16" t="inlineStr"/>
      <c r="H112" s="16" t="inlineStr"/>
      <c r="I112" s="16" t="inlineStr"/>
      <c r="J112" s="16" t="inlineStr">
        <is>
          <t>Open</t>
        </is>
      </c>
      <c r="K112" s="16" t="inlineStr">
        <is>
          <t>Medium</t>
        </is>
      </c>
      <c r="L112" s="16" t="inlineStr">
        <is>
          <t>Medium</t>
        </is>
      </c>
      <c r="M112" s="16" t="inlineStr">
        <is>
          <t>Possible</t>
        </is>
      </c>
      <c r="N112" s="21">
        <f>IF(OR(L112="",M112=""),"",IF(L112="Critical",4,IF(L112="High",3,IF(L112="Medium",2,1)))*IF(M112="Almost Certain",5,IF(M112="Likely",4,IF(M112="Possible",3,IF(M112="Unlikely",2,1)))))</f>
        <v/>
      </c>
      <c r="O112" s="20" t="inlineStr"/>
      <c r="P112" s="20" t="inlineStr"/>
      <c r="Q112" s="20" t="inlineStr"/>
      <c r="R112" s="21">
        <f>IF(O112="","",IF(Q112&lt;&gt;"",Q112-O112,TODAY()-O112))</f>
        <v/>
      </c>
      <c r="S112" s="17">
        <f>IF(R112="","",IF(R112&lt;=30,"0-30 Days",IF(R112&lt;=60,"31-60 Days",IF(R112&lt;=90,"61-90 Days",IF(R112&lt;=180,"91-180 Days","181+ Days")))))</f>
        <v/>
      </c>
      <c r="T112" s="16" t="inlineStr">
        <is>
          <t>Medium</t>
        </is>
      </c>
      <c r="U112" s="16" t="inlineStr">
        <is>
          <t>Pending</t>
        </is>
      </c>
      <c r="V112" s="16" t="inlineStr"/>
      <c r="W112" s="16" t="inlineStr"/>
      <c r="X112" s="16" t="inlineStr"/>
    </row>
    <row r="113">
      <c r="A113" s="16" t="inlineStr"/>
      <c r="B113" s="16" t="inlineStr"/>
      <c r="C113" s="17" t="inlineStr"/>
      <c r="D113" s="17" t="inlineStr"/>
      <c r="E113" s="16" t="inlineStr"/>
      <c r="F113" s="16" t="inlineStr"/>
      <c r="G113" s="16" t="inlineStr"/>
      <c r="H113" s="16" t="inlineStr"/>
      <c r="I113" s="16" t="inlineStr"/>
      <c r="J113" s="16" t="inlineStr">
        <is>
          <t>Open</t>
        </is>
      </c>
      <c r="K113" s="16" t="inlineStr">
        <is>
          <t>Medium</t>
        </is>
      </c>
      <c r="L113" s="16" t="inlineStr">
        <is>
          <t>Medium</t>
        </is>
      </c>
      <c r="M113" s="16" t="inlineStr">
        <is>
          <t>Possible</t>
        </is>
      </c>
      <c r="N113" s="21">
        <f>IF(OR(L113="",M113=""),"",IF(L113="Critical",4,IF(L113="High",3,IF(L113="Medium",2,1)))*IF(M113="Almost Certain",5,IF(M113="Likely",4,IF(M113="Possible",3,IF(M113="Unlikely",2,1)))))</f>
        <v/>
      </c>
      <c r="O113" s="20" t="inlineStr"/>
      <c r="P113" s="20" t="inlineStr"/>
      <c r="Q113" s="20" t="inlineStr"/>
      <c r="R113" s="21">
        <f>IF(O113="","",IF(Q113&lt;&gt;"",Q113-O113,TODAY()-O113))</f>
        <v/>
      </c>
      <c r="S113" s="17">
        <f>IF(R113="","",IF(R113&lt;=30,"0-30 Days",IF(R113&lt;=60,"31-60 Days",IF(R113&lt;=90,"61-90 Days",IF(R113&lt;=180,"91-180 Days","181+ Days")))))</f>
        <v/>
      </c>
      <c r="T113" s="16" t="inlineStr">
        <is>
          <t>Medium</t>
        </is>
      </c>
      <c r="U113" s="16" t="inlineStr">
        <is>
          <t>Pending</t>
        </is>
      </c>
      <c r="V113" s="16" t="inlineStr"/>
      <c r="W113" s="16" t="inlineStr"/>
      <c r="X113" s="16" t="inlineStr"/>
    </row>
    <row r="114">
      <c r="A114" s="16" t="inlineStr"/>
      <c r="B114" s="16" t="inlineStr"/>
      <c r="C114" s="17" t="inlineStr"/>
      <c r="D114" s="17" t="inlineStr"/>
      <c r="E114" s="16" t="inlineStr"/>
      <c r="F114" s="16" t="inlineStr"/>
      <c r="G114" s="16" t="inlineStr"/>
      <c r="H114" s="16" t="inlineStr"/>
      <c r="I114" s="16" t="inlineStr"/>
      <c r="J114" s="16" t="inlineStr">
        <is>
          <t>Open</t>
        </is>
      </c>
      <c r="K114" s="16" t="inlineStr">
        <is>
          <t>Medium</t>
        </is>
      </c>
      <c r="L114" s="16" t="inlineStr">
        <is>
          <t>Medium</t>
        </is>
      </c>
      <c r="M114" s="16" t="inlineStr">
        <is>
          <t>Possible</t>
        </is>
      </c>
      <c r="N114" s="21">
        <f>IF(OR(L114="",M114=""),"",IF(L114="Critical",4,IF(L114="High",3,IF(L114="Medium",2,1)))*IF(M114="Almost Certain",5,IF(M114="Likely",4,IF(M114="Possible",3,IF(M114="Unlikely",2,1)))))</f>
        <v/>
      </c>
      <c r="O114" s="20" t="inlineStr"/>
      <c r="P114" s="20" t="inlineStr"/>
      <c r="Q114" s="20" t="inlineStr"/>
      <c r="R114" s="21">
        <f>IF(O114="","",IF(Q114&lt;&gt;"",Q114-O114,TODAY()-O114))</f>
        <v/>
      </c>
      <c r="S114" s="17">
        <f>IF(R114="","",IF(R114&lt;=30,"0-30 Days",IF(R114&lt;=60,"31-60 Days",IF(R114&lt;=90,"61-90 Days",IF(R114&lt;=180,"91-180 Days","181+ Days")))))</f>
        <v/>
      </c>
      <c r="T114" s="16" t="inlineStr">
        <is>
          <t>Medium</t>
        </is>
      </c>
      <c r="U114" s="16" t="inlineStr">
        <is>
          <t>Pending</t>
        </is>
      </c>
      <c r="V114" s="16" t="inlineStr"/>
      <c r="W114" s="16" t="inlineStr"/>
      <c r="X114" s="16" t="inlineStr"/>
    </row>
    <row r="115">
      <c r="A115" s="16" t="inlineStr"/>
      <c r="B115" s="16" t="inlineStr"/>
      <c r="C115" s="17" t="inlineStr"/>
      <c r="D115" s="17" t="inlineStr"/>
      <c r="E115" s="16" t="inlineStr"/>
      <c r="F115" s="16" t="inlineStr"/>
      <c r="G115" s="16" t="inlineStr"/>
      <c r="H115" s="16" t="inlineStr"/>
      <c r="I115" s="16" t="inlineStr"/>
      <c r="J115" s="16" t="inlineStr">
        <is>
          <t>Open</t>
        </is>
      </c>
      <c r="K115" s="16" t="inlineStr">
        <is>
          <t>Medium</t>
        </is>
      </c>
      <c r="L115" s="16" t="inlineStr">
        <is>
          <t>Medium</t>
        </is>
      </c>
      <c r="M115" s="16" t="inlineStr">
        <is>
          <t>Possible</t>
        </is>
      </c>
      <c r="N115" s="21">
        <f>IF(OR(L115="",M115=""),"",IF(L115="Critical",4,IF(L115="High",3,IF(L115="Medium",2,1)))*IF(M115="Almost Certain",5,IF(M115="Likely",4,IF(M115="Possible",3,IF(M115="Unlikely",2,1)))))</f>
        <v/>
      </c>
      <c r="O115" s="20" t="inlineStr"/>
      <c r="P115" s="20" t="inlineStr"/>
      <c r="Q115" s="20" t="inlineStr"/>
      <c r="R115" s="21">
        <f>IF(O115="","",IF(Q115&lt;&gt;"",Q115-O115,TODAY()-O115))</f>
        <v/>
      </c>
      <c r="S115" s="17">
        <f>IF(R115="","",IF(R115&lt;=30,"0-30 Days",IF(R115&lt;=60,"31-60 Days",IF(R115&lt;=90,"61-90 Days",IF(R115&lt;=180,"91-180 Days","181+ Days")))))</f>
        <v/>
      </c>
      <c r="T115" s="16" t="inlineStr">
        <is>
          <t>Medium</t>
        </is>
      </c>
      <c r="U115" s="16" t="inlineStr">
        <is>
          <t>Pending</t>
        </is>
      </c>
      <c r="V115" s="16" t="inlineStr"/>
      <c r="W115" s="16" t="inlineStr"/>
      <c r="X115" s="16" t="inlineStr"/>
    </row>
    <row r="116">
      <c r="A116" s="16" t="inlineStr"/>
      <c r="B116" s="16" t="inlineStr"/>
      <c r="C116" s="17" t="inlineStr"/>
      <c r="D116" s="17" t="inlineStr"/>
      <c r="E116" s="16" t="inlineStr"/>
      <c r="F116" s="16" t="inlineStr"/>
      <c r="G116" s="16" t="inlineStr"/>
      <c r="H116" s="16" t="inlineStr"/>
      <c r="I116" s="16" t="inlineStr"/>
      <c r="J116" s="16" t="inlineStr">
        <is>
          <t>Open</t>
        </is>
      </c>
      <c r="K116" s="16" t="inlineStr">
        <is>
          <t>Medium</t>
        </is>
      </c>
      <c r="L116" s="16" t="inlineStr">
        <is>
          <t>Medium</t>
        </is>
      </c>
      <c r="M116" s="16" t="inlineStr">
        <is>
          <t>Possible</t>
        </is>
      </c>
      <c r="N116" s="21">
        <f>IF(OR(L116="",M116=""),"",IF(L116="Critical",4,IF(L116="High",3,IF(L116="Medium",2,1)))*IF(M116="Almost Certain",5,IF(M116="Likely",4,IF(M116="Possible",3,IF(M116="Unlikely",2,1)))))</f>
        <v/>
      </c>
      <c r="O116" s="20" t="inlineStr"/>
      <c r="P116" s="20" t="inlineStr"/>
      <c r="Q116" s="20" t="inlineStr"/>
      <c r="R116" s="21">
        <f>IF(O116="","",IF(Q116&lt;&gt;"",Q116-O116,TODAY()-O116))</f>
        <v/>
      </c>
      <c r="S116" s="17">
        <f>IF(R116="","",IF(R116&lt;=30,"0-30 Days",IF(R116&lt;=60,"31-60 Days",IF(R116&lt;=90,"61-90 Days",IF(R116&lt;=180,"91-180 Days","181+ Days")))))</f>
        <v/>
      </c>
      <c r="T116" s="16" t="inlineStr">
        <is>
          <t>Medium</t>
        </is>
      </c>
      <c r="U116" s="16" t="inlineStr">
        <is>
          <t>Pending</t>
        </is>
      </c>
      <c r="V116" s="16" t="inlineStr"/>
      <c r="W116" s="16" t="inlineStr"/>
      <c r="X116" s="16" t="inlineStr"/>
    </row>
    <row r="117">
      <c r="A117" s="16" t="inlineStr"/>
      <c r="B117" s="16" t="inlineStr"/>
      <c r="C117" s="17" t="inlineStr"/>
      <c r="D117" s="17" t="inlineStr"/>
      <c r="E117" s="16" t="inlineStr"/>
      <c r="F117" s="16" t="inlineStr"/>
      <c r="G117" s="16" t="inlineStr"/>
      <c r="H117" s="16" t="inlineStr"/>
      <c r="I117" s="16" t="inlineStr"/>
      <c r="J117" s="16" t="inlineStr">
        <is>
          <t>Open</t>
        </is>
      </c>
      <c r="K117" s="16" t="inlineStr">
        <is>
          <t>Medium</t>
        </is>
      </c>
      <c r="L117" s="16" t="inlineStr">
        <is>
          <t>Medium</t>
        </is>
      </c>
      <c r="M117" s="16" t="inlineStr">
        <is>
          <t>Possible</t>
        </is>
      </c>
      <c r="N117" s="21">
        <f>IF(OR(L117="",M117=""),"",IF(L117="Critical",4,IF(L117="High",3,IF(L117="Medium",2,1)))*IF(M117="Almost Certain",5,IF(M117="Likely",4,IF(M117="Possible",3,IF(M117="Unlikely",2,1)))))</f>
        <v/>
      </c>
      <c r="O117" s="20" t="inlineStr"/>
      <c r="P117" s="20" t="inlineStr"/>
      <c r="Q117" s="20" t="inlineStr"/>
      <c r="R117" s="21">
        <f>IF(O117="","",IF(Q117&lt;&gt;"",Q117-O117,TODAY()-O117))</f>
        <v/>
      </c>
      <c r="S117" s="17">
        <f>IF(R117="","",IF(R117&lt;=30,"0-30 Days",IF(R117&lt;=60,"31-60 Days",IF(R117&lt;=90,"61-90 Days",IF(R117&lt;=180,"91-180 Days","181+ Days")))))</f>
        <v/>
      </c>
      <c r="T117" s="16" t="inlineStr">
        <is>
          <t>Medium</t>
        </is>
      </c>
      <c r="U117" s="16" t="inlineStr">
        <is>
          <t>Pending</t>
        </is>
      </c>
      <c r="V117" s="16" t="inlineStr"/>
      <c r="W117" s="16" t="inlineStr"/>
      <c r="X117" s="16" t="inlineStr"/>
    </row>
    <row r="118">
      <c r="A118" s="16" t="inlineStr"/>
      <c r="B118" s="16" t="inlineStr"/>
      <c r="C118" s="17" t="inlineStr"/>
      <c r="D118" s="17" t="inlineStr"/>
      <c r="E118" s="16" t="inlineStr"/>
      <c r="F118" s="16" t="inlineStr"/>
      <c r="G118" s="16" t="inlineStr"/>
      <c r="H118" s="16" t="inlineStr"/>
      <c r="I118" s="16" t="inlineStr"/>
      <c r="J118" s="16" t="inlineStr">
        <is>
          <t>Open</t>
        </is>
      </c>
      <c r="K118" s="16" t="inlineStr">
        <is>
          <t>Medium</t>
        </is>
      </c>
      <c r="L118" s="16" t="inlineStr">
        <is>
          <t>Medium</t>
        </is>
      </c>
      <c r="M118" s="16" t="inlineStr">
        <is>
          <t>Possible</t>
        </is>
      </c>
      <c r="N118" s="21">
        <f>IF(OR(L118="",M118=""),"",IF(L118="Critical",4,IF(L118="High",3,IF(L118="Medium",2,1)))*IF(M118="Almost Certain",5,IF(M118="Likely",4,IF(M118="Possible",3,IF(M118="Unlikely",2,1)))))</f>
        <v/>
      </c>
      <c r="O118" s="20" t="inlineStr"/>
      <c r="P118" s="20" t="inlineStr"/>
      <c r="Q118" s="20" t="inlineStr"/>
      <c r="R118" s="21">
        <f>IF(O118="","",IF(Q118&lt;&gt;"",Q118-O118,TODAY()-O118))</f>
        <v/>
      </c>
      <c r="S118" s="17">
        <f>IF(R118="","",IF(R118&lt;=30,"0-30 Days",IF(R118&lt;=60,"31-60 Days",IF(R118&lt;=90,"61-90 Days",IF(R118&lt;=180,"91-180 Days","181+ Days")))))</f>
        <v/>
      </c>
      <c r="T118" s="16" t="inlineStr">
        <is>
          <t>Medium</t>
        </is>
      </c>
      <c r="U118" s="16" t="inlineStr">
        <is>
          <t>Pending</t>
        </is>
      </c>
      <c r="V118" s="16" t="inlineStr"/>
      <c r="W118" s="16" t="inlineStr"/>
      <c r="X118" s="16" t="inlineStr"/>
    </row>
    <row r="119">
      <c r="A119" s="16" t="inlineStr"/>
      <c r="B119" s="16" t="inlineStr"/>
      <c r="C119" s="17" t="inlineStr"/>
      <c r="D119" s="17" t="inlineStr"/>
      <c r="E119" s="16" t="inlineStr"/>
      <c r="F119" s="16" t="inlineStr"/>
      <c r="G119" s="16" t="inlineStr"/>
      <c r="H119" s="16" t="inlineStr"/>
      <c r="I119" s="16" t="inlineStr"/>
      <c r="J119" s="16" t="inlineStr">
        <is>
          <t>Open</t>
        </is>
      </c>
      <c r="K119" s="16" t="inlineStr">
        <is>
          <t>Medium</t>
        </is>
      </c>
      <c r="L119" s="16" t="inlineStr">
        <is>
          <t>Medium</t>
        </is>
      </c>
      <c r="M119" s="16" t="inlineStr">
        <is>
          <t>Possible</t>
        </is>
      </c>
      <c r="N119" s="21">
        <f>IF(OR(L119="",M119=""),"",IF(L119="Critical",4,IF(L119="High",3,IF(L119="Medium",2,1)))*IF(M119="Almost Certain",5,IF(M119="Likely",4,IF(M119="Possible",3,IF(M119="Unlikely",2,1)))))</f>
        <v/>
      </c>
      <c r="O119" s="20" t="inlineStr"/>
      <c r="P119" s="20" t="inlineStr"/>
      <c r="Q119" s="20" t="inlineStr"/>
      <c r="R119" s="21">
        <f>IF(O119="","",IF(Q119&lt;&gt;"",Q119-O119,TODAY()-O119))</f>
        <v/>
      </c>
      <c r="S119" s="17">
        <f>IF(R119="","",IF(R119&lt;=30,"0-30 Days",IF(R119&lt;=60,"31-60 Days",IF(R119&lt;=90,"61-90 Days",IF(R119&lt;=180,"91-180 Days","181+ Days")))))</f>
        <v/>
      </c>
      <c r="T119" s="16" t="inlineStr">
        <is>
          <t>Medium</t>
        </is>
      </c>
      <c r="U119" s="16" t="inlineStr">
        <is>
          <t>Pending</t>
        </is>
      </c>
      <c r="V119" s="16" t="inlineStr"/>
      <c r="W119" s="16" t="inlineStr"/>
      <c r="X119" s="16" t="inlineStr"/>
    </row>
    <row r="120">
      <c r="A120" s="16" t="inlineStr"/>
      <c r="B120" s="16" t="inlineStr"/>
      <c r="C120" s="17" t="inlineStr"/>
      <c r="D120" s="17" t="inlineStr"/>
      <c r="E120" s="16" t="inlineStr"/>
      <c r="F120" s="16" t="inlineStr"/>
      <c r="G120" s="16" t="inlineStr"/>
      <c r="H120" s="16" t="inlineStr"/>
      <c r="I120" s="16" t="inlineStr"/>
      <c r="J120" s="16" t="inlineStr">
        <is>
          <t>Open</t>
        </is>
      </c>
      <c r="K120" s="16" t="inlineStr">
        <is>
          <t>Medium</t>
        </is>
      </c>
      <c r="L120" s="16" t="inlineStr">
        <is>
          <t>Medium</t>
        </is>
      </c>
      <c r="M120" s="16" t="inlineStr">
        <is>
          <t>Possible</t>
        </is>
      </c>
      <c r="N120" s="21">
        <f>IF(OR(L120="",M120=""),"",IF(L120="Critical",4,IF(L120="High",3,IF(L120="Medium",2,1)))*IF(M120="Almost Certain",5,IF(M120="Likely",4,IF(M120="Possible",3,IF(M120="Unlikely",2,1)))))</f>
        <v/>
      </c>
      <c r="O120" s="20" t="inlineStr"/>
      <c r="P120" s="20" t="inlineStr"/>
      <c r="Q120" s="20" t="inlineStr"/>
      <c r="R120" s="21">
        <f>IF(O120="","",IF(Q120&lt;&gt;"",Q120-O120,TODAY()-O120))</f>
        <v/>
      </c>
      <c r="S120" s="17">
        <f>IF(R120="","",IF(R120&lt;=30,"0-30 Days",IF(R120&lt;=60,"31-60 Days",IF(R120&lt;=90,"61-90 Days",IF(R120&lt;=180,"91-180 Days","181+ Days")))))</f>
        <v/>
      </c>
      <c r="T120" s="16" t="inlineStr">
        <is>
          <t>Medium</t>
        </is>
      </c>
      <c r="U120" s="16" t="inlineStr">
        <is>
          <t>Pending</t>
        </is>
      </c>
      <c r="V120" s="16" t="inlineStr"/>
      <c r="W120" s="16" t="inlineStr"/>
      <c r="X120" s="16" t="inlineStr"/>
    </row>
    <row r="121">
      <c r="A121" s="16" t="inlineStr"/>
      <c r="B121" s="16" t="inlineStr"/>
      <c r="C121" s="17" t="inlineStr"/>
      <c r="D121" s="17" t="inlineStr"/>
      <c r="E121" s="16" t="inlineStr"/>
      <c r="F121" s="16" t="inlineStr"/>
      <c r="G121" s="16" t="inlineStr"/>
      <c r="H121" s="16" t="inlineStr"/>
      <c r="I121" s="16" t="inlineStr"/>
      <c r="J121" s="16" t="inlineStr">
        <is>
          <t>Open</t>
        </is>
      </c>
      <c r="K121" s="16" t="inlineStr">
        <is>
          <t>Medium</t>
        </is>
      </c>
      <c r="L121" s="16" t="inlineStr">
        <is>
          <t>Medium</t>
        </is>
      </c>
      <c r="M121" s="16" t="inlineStr">
        <is>
          <t>Possible</t>
        </is>
      </c>
      <c r="N121" s="21">
        <f>IF(OR(L121="",M121=""),"",IF(L121="Critical",4,IF(L121="High",3,IF(L121="Medium",2,1)))*IF(M121="Almost Certain",5,IF(M121="Likely",4,IF(M121="Possible",3,IF(M121="Unlikely",2,1)))))</f>
        <v/>
      </c>
      <c r="O121" s="20" t="inlineStr"/>
      <c r="P121" s="20" t="inlineStr"/>
      <c r="Q121" s="20" t="inlineStr"/>
      <c r="R121" s="21">
        <f>IF(O121="","",IF(Q121&lt;&gt;"",Q121-O121,TODAY()-O121))</f>
        <v/>
      </c>
      <c r="S121" s="17">
        <f>IF(R121="","",IF(R121&lt;=30,"0-30 Days",IF(R121&lt;=60,"31-60 Days",IF(R121&lt;=90,"61-90 Days",IF(R121&lt;=180,"91-180 Days","181+ Days")))))</f>
        <v/>
      </c>
      <c r="T121" s="16" t="inlineStr">
        <is>
          <t>Medium</t>
        </is>
      </c>
      <c r="U121" s="16" t="inlineStr">
        <is>
          <t>Pending</t>
        </is>
      </c>
      <c r="V121" s="16" t="inlineStr"/>
      <c r="W121" s="16" t="inlineStr"/>
      <c r="X121" s="16" t="inlineStr"/>
    </row>
    <row r="122">
      <c r="A122" s="16" t="inlineStr"/>
      <c r="B122" s="16" t="inlineStr"/>
      <c r="C122" s="17" t="inlineStr"/>
      <c r="D122" s="17" t="inlineStr"/>
      <c r="E122" s="16" t="inlineStr"/>
      <c r="F122" s="16" t="inlineStr"/>
      <c r="G122" s="16" t="inlineStr"/>
      <c r="H122" s="16" t="inlineStr"/>
      <c r="I122" s="16" t="inlineStr"/>
      <c r="J122" s="16" t="inlineStr">
        <is>
          <t>Open</t>
        </is>
      </c>
      <c r="K122" s="16" t="inlineStr">
        <is>
          <t>Medium</t>
        </is>
      </c>
      <c r="L122" s="16" t="inlineStr">
        <is>
          <t>Medium</t>
        </is>
      </c>
      <c r="M122" s="16" t="inlineStr">
        <is>
          <t>Possible</t>
        </is>
      </c>
      <c r="N122" s="21">
        <f>IF(OR(L122="",M122=""),"",IF(L122="Critical",4,IF(L122="High",3,IF(L122="Medium",2,1)))*IF(M122="Almost Certain",5,IF(M122="Likely",4,IF(M122="Possible",3,IF(M122="Unlikely",2,1)))))</f>
        <v/>
      </c>
      <c r="O122" s="20" t="inlineStr"/>
      <c r="P122" s="20" t="inlineStr"/>
      <c r="Q122" s="20" t="inlineStr"/>
      <c r="R122" s="21">
        <f>IF(O122="","",IF(Q122&lt;&gt;"",Q122-O122,TODAY()-O122))</f>
        <v/>
      </c>
      <c r="S122" s="17">
        <f>IF(R122="","",IF(R122&lt;=30,"0-30 Days",IF(R122&lt;=60,"31-60 Days",IF(R122&lt;=90,"61-90 Days",IF(R122&lt;=180,"91-180 Days","181+ Days")))))</f>
        <v/>
      </c>
      <c r="T122" s="16" t="inlineStr">
        <is>
          <t>Medium</t>
        </is>
      </c>
      <c r="U122" s="16" t="inlineStr">
        <is>
          <t>Pending</t>
        </is>
      </c>
      <c r="V122" s="16" t="inlineStr"/>
      <c r="W122" s="16" t="inlineStr"/>
      <c r="X122" s="16" t="inlineStr"/>
    </row>
    <row r="123">
      <c r="A123" s="16" t="inlineStr"/>
      <c r="B123" s="16" t="inlineStr"/>
      <c r="C123" s="17" t="inlineStr"/>
      <c r="D123" s="17" t="inlineStr"/>
      <c r="E123" s="16" t="inlineStr"/>
      <c r="F123" s="16" t="inlineStr"/>
      <c r="G123" s="16" t="inlineStr"/>
      <c r="H123" s="16" t="inlineStr"/>
      <c r="I123" s="16" t="inlineStr"/>
      <c r="J123" s="16" t="inlineStr">
        <is>
          <t>Open</t>
        </is>
      </c>
      <c r="K123" s="16" t="inlineStr">
        <is>
          <t>Medium</t>
        </is>
      </c>
      <c r="L123" s="16" t="inlineStr">
        <is>
          <t>Medium</t>
        </is>
      </c>
      <c r="M123" s="16" t="inlineStr">
        <is>
          <t>Possible</t>
        </is>
      </c>
      <c r="N123" s="21">
        <f>IF(OR(L123="",M123=""),"",IF(L123="Critical",4,IF(L123="High",3,IF(L123="Medium",2,1)))*IF(M123="Almost Certain",5,IF(M123="Likely",4,IF(M123="Possible",3,IF(M123="Unlikely",2,1)))))</f>
        <v/>
      </c>
      <c r="O123" s="20" t="inlineStr"/>
      <c r="P123" s="20" t="inlineStr"/>
      <c r="Q123" s="20" t="inlineStr"/>
      <c r="R123" s="21">
        <f>IF(O123="","",IF(Q123&lt;&gt;"",Q123-O123,TODAY()-O123))</f>
        <v/>
      </c>
      <c r="S123" s="17">
        <f>IF(R123="","",IF(R123&lt;=30,"0-30 Days",IF(R123&lt;=60,"31-60 Days",IF(R123&lt;=90,"61-90 Days",IF(R123&lt;=180,"91-180 Days","181+ Days")))))</f>
        <v/>
      </c>
      <c r="T123" s="16" t="inlineStr">
        <is>
          <t>Medium</t>
        </is>
      </c>
      <c r="U123" s="16" t="inlineStr">
        <is>
          <t>Pending</t>
        </is>
      </c>
      <c r="V123" s="16" t="inlineStr"/>
      <c r="W123" s="16" t="inlineStr"/>
      <c r="X123" s="16" t="inlineStr"/>
    </row>
    <row r="124">
      <c r="A124" s="16" t="inlineStr"/>
      <c r="B124" s="16" t="inlineStr"/>
      <c r="C124" s="17" t="inlineStr"/>
      <c r="D124" s="17" t="inlineStr"/>
      <c r="E124" s="16" t="inlineStr"/>
      <c r="F124" s="16" t="inlineStr"/>
      <c r="G124" s="16" t="inlineStr"/>
      <c r="H124" s="16" t="inlineStr"/>
      <c r="I124" s="16" t="inlineStr"/>
      <c r="J124" s="16" t="inlineStr">
        <is>
          <t>Open</t>
        </is>
      </c>
      <c r="K124" s="16" t="inlineStr">
        <is>
          <t>Medium</t>
        </is>
      </c>
      <c r="L124" s="16" t="inlineStr">
        <is>
          <t>Medium</t>
        </is>
      </c>
      <c r="M124" s="16" t="inlineStr">
        <is>
          <t>Possible</t>
        </is>
      </c>
      <c r="N124" s="21">
        <f>IF(OR(L124="",M124=""),"",IF(L124="Critical",4,IF(L124="High",3,IF(L124="Medium",2,1)))*IF(M124="Almost Certain",5,IF(M124="Likely",4,IF(M124="Possible",3,IF(M124="Unlikely",2,1)))))</f>
        <v/>
      </c>
      <c r="O124" s="20" t="inlineStr"/>
      <c r="P124" s="20" t="inlineStr"/>
      <c r="Q124" s="20" t="inlineStr"/>
      <c r="R124" s="21">
        <f>IF(O124="","",IF(Q124&lt;&gt;"",Q124-O124,TODAY()-O124))</f>
        <v/>
      </c>
      <c r="S124" s="17">
        <f>IF(R124="","",IF(R124&lt;=30,"0-30 Days",IF(R124&lt;=60,"31-60 Days",IF(R124&lt;=90,"61-90 Days",IF(R124&lt;=180,"91-180 Days","181+ Days")))))</f>
        <v/>
      </c>
      <c r="T124" s="16" t="inlineStr">
        <is>
          <t>Medium</t>
        </is>
      </c>
      <c r="U124" s="16" t="inlineStr">
        <is>
          <t>Pending</t>
        </is>
      </c>
      <c r="V124" s="16" t="inlineStr"/>
      <c r="W124" s="16" t="inlineStr"/>
      <c r="X124" s="16" t="inlineStr"/>
    </row>
    <row r="125">
      <c r="A125" s="16" t="inlineStr"/>
      <c r="B125" s="16" t="inlineStr"/>
      <c r="C125" s="17" t="inlineStr"/>
      <c r="D125" s="17" t="inlineStr"/>
      <c r="E125" s="16" t="inlineStr"/>
      <c r="F125" s="16" t="inlineStr"/>
      <c r="G125" s="16" t="inlineStr"/>
      <c r="H125" s="16" t="inlineStr"/>
      <c r="I125" s="16" t="inlineStr"/>
      <c r="J125" s="16" t="inlineStr">
        <is>
          <t>Open</t>
        </is>
      </c>
      <c r="K125" s="16" t="inlineStr">
        <is>
          <t>Medium</t>
        </is>
      </c>
      <c r="L125" s="16" t="inlineStr">
        <is>
          <t>Medium</t>
        </is>
      </c>
      <c r="M125" s="16" t="inlineStr">
        <is>
          <t>Possible</t>
        </is>
      </c>
      <c r="N125" s="21">
        <f>IF(OR(L125="",M125=""),"",IF(L125="Critical",4,IF(L125="High",3,IF(L125="Medium",2,1)))*IF(M125="Almost Certain",5,IF(M125="Likely",4,IF(M125="Possible",3,IF(M125="Unlikely",2,1)))))</f>
        <v/>
      </c>
      <c r="O125" s="20" t="inlineStr"/>
      <c r="P125" s="20" t="inlineStr"/>
      <c r="Q125" s="20" t="inlineStr"/>
      <c r="R125" s="21">
        <f>IF(O125="","",IF(Q125&lt;&gt;"",Q125-O125,TODAY()-O125))</f>
        <v/>
      </c>
      <c r="S125" s="17">
        <f>IF(R125="","",IF(R125&lt;=30,"0-30 Days",IF(R125&lt;=60,"31-60 Days",IF(R125&lt;=90,"61-90 Days",IF(R125&lt;=180,"91-180 Days","181+ Days")))))</f>
        <v/>
      </c>
      <c r="T125" s="16" t="inlineStr">
        <is>
          <t>Medium</t>
        </is>
      </c>
      <c r="U125" s="16" t="inlineStr">
        <is>
          <t>Pending</t>
        </is>
      </c>
      <c r="V125" s="16" t="inlineStr"/>
      <c r="W125" s="16" t="inlineStr"/>
      <c r="X125" s="16" t="inlineStr"/>
    </row>
    <row r="126">
      <c r="A126" s="16" t="inlineStr"/>
      <c r="B126" s="16" t="inlineStr"/>
      <c r="C126" s="17" t="inlineStr"/>
      <c r="D126" s="17" t="inlineStr"/>
      <c r="E126" s="16" t="inlineStr"/>
      <c r="F126" s="16" t="inlineStr"/>
      <c r="G126" s="16" t="inlineStr"/>
      <c r="H126" s="16" t="inlineStr"/>
      <c r="I126" s="16" t="inlineStr"/>
      <c r="J126" s="16" t="inlineStr">
        <is>
          <t>Open</t>
        </is>
      </c>
      <c r="K126" s="16" t="inlineStr">
        <is>
          <t>Medium</t>
        </is>
      </c>
      <c r="L126" s="16" t="inlineStr">
        <is>
          <t>Medium</t>
        </is>
      </c>
      <c r="M126" s="16" t="inlineStr">
        <is>
          <t>Possible</t>
        </is>
      </c>
      <c r="N126" s="21">
        <f>IF(OR(L126="",M126=""),"",IF(L126="Critical",4,IF(L126="High",3,IF(L126="Medium",2,1)))*IF(M126="Almost Certain",5,IF(M126="Likely",4,IF(M126="Possible",3,IF(M126="Unlikely",2,1)))))</f>
        <v/>
      </c>
      <c r="O126" s="20" t="inlineStr"/>
      <c r="P126" s="20" t="inlineStr"/>
      <c r="Q126" s="20" t="inlineStr"/>
      <c r="R126" s="21">
        <f>IF(O126="","",IF(Q126&lt;&gt;"",Q126-O126,TODAY()-O126))</f>
        <v/>
      </c>
      <c r="S126" s="17">
        <f>IF(R126="","",IF(R126&lt;=30,"0-30 Days",IF(R126&lt;=60,"31-60 Days",IF(R126&lt;=90,"61-90 Days",IF(R126&lt;=180,"91-180 Days","181+ Days")))))</f>
        <v/>
      </c>
      <c r="T126" s="16" t="inlineStr">
        <is>
          <t>Medium</t>
        </is>
      </c>
      <c r="U126" s="16" t="inlineStr">
        <is>
          <t>Pending</t>
        </is>
      </c>
      <c r="V126" s="16" t="inlineStr"/>
      <c r="W126" s="16" t="inlineStr"/>
      <c r="X126" s="16" t="inlineStr"/>
    </row>
    <row r="127">
      <c r="A127" s="16" t="inlineStr"/>
      <c r="B127" s="16" t="inlineStr"/>
      <c r="C127" s="17" t="inlineStr"/>
      <c r="D127" s="17" t="inlineStr"/>
      <c r="E127" s="16" t="inlineStr"/>
      <c r="F127" s="16" t="inlineStr"/>
      <c r="G127" s="16" t="inlineStr"/>
      <c r="H127" s="16" t="inlineStr"/>
      <c r="I127" s="16" t="inlineStr"/>
      <c r="J127" s="16" t="inlineStr">
        <is>
          <t>Open</t>
        </is>
      </c>
      <c r="K127" s="16" t="inlineStr">
        <is>
          <t>Medium</t>
        </is>
      </c>
      <c r="L127" s="16" t="inlineStr">
        <is>
          <t>Medium</t>
        </is>
      </c>
      <c r="M127" s="16" t="inlineStr">
        <is>
          <t>Possible</t>
        </is>
      </c>
      <c r="N127" s="21">
        <f>IF(OR(L127="",M127=""),"",IF(L127="Critical",4,IF(L127="High",3,IF(L127="Medium",2,1)))*IF(M127="Almost Certain",5,IF(M127="Likely",4,IF(M127="Possible",3,IF(M127="Unlikely",2,1)))))</f>
        <v/>
      </c>
      <c r="O127" s="20" t="inlineStr"/>
      <c r="P127" s="20" t="inlineStr"/>
      <c r="Q127" s="20" t="inlineStr"/>
      <c r="R127" s="21">
        <f>IF(O127="","",IF(Q127&lt;&gt;"",Q127-O127,TODAY()-O127))</f>
        <v/>
      </c>
      <c r="S127" s="17">
        <f>IF(R127="","",IF(R127&lt;=30,"0-30 Days",IF(R127&lt;=60,"31-60 Days",IF(R127&lt;=90,"61-90 Days",IF(R127&lt;=180,"91-180 Days","181+ Days")))))</f>
        <v/>
      </c>
      <c r="T127" s="16" t="inlineStr">
        <is>
          <t>Medium</t>
        </is>
      </c>
      <c r="U127" s="16" t="inlineStr">
        <is>
          <t>Pending</t>
        </is>
      </c>
      <c r="V127" s="16" t="inlineStr"/>
      <c r="W127" s="16" t="inlineStr"/>
      <c r="X127" s="16" t="inlineStr"/>
    </row>
    <row r="128">
      <c r="A128" s="16" t="inlineStr"/>
      <c r="B128" s="16" t="inlineStr"/>
      <c r="C128" s="17" t="inlineStr"/>
      <c r="D128" s="17" t="inlineStr"/>
      <c r="E128" s="16" t="inlineStr"/>
      <c r="F128" s="16" t="inlineStr"/>
      <c r="G128" s="16" t="inlineStr"/>
      <c r="H128" s="16" t="inlineStr"/>
      <c r="I128" s="16" t="inlineStr"/>
      <c r="J128" s="16" t="inlineStr">
        <is>
          <t>Open</t>
        </is>
      </c>
      <c r="K128" s="16" t="inlineStr">
        <is>
          <t>Medium</t>
        </is>
      </c>
      <c r="L128" s="16" t="inlineStr">
        <is>
          <t>Medium</t>
        </is>
      </c>
      <c r="M128" s="16" t="inlineStr">
        <is>
          <t>Possible</t>
        </is>
      </c>
      <c r="N128" s="21">
        <f>IF(OR(L128="",M128=""),"",IF(L128="Critical",4,IF(L128="High",3,IF(L128="Medium",2,1)))*IF(M128="Almost Certain",5,IF(M128="Likely",4,IF(M128="Possible",3,IF(M128="Unlikely",2,1)))))</f>
        <v/>
      </c>
      <c r="O128" s="20" t="inlineStr"/>
      <c r="P128" s="20" t="inlineStr"/>
      <c r="Q128" s="20" t="inlineStr"/>
      <c r="R128" s="21">
        <f>IF(O128="","",IF(Q128&lt;&gt;"",Q128-O128,TODAY()-O128))</f>
        <v/>
      </c>
      <c r="S128" s="17">
        <f>IF(R128="","",IF(R128&lt;=30,"0-30 Days",IF(R128&lt;=60,"31-60 Days",IF(R128&lt;=90,"61-90 Days",IF(R128&lt;=180,"91-180 Days","181+ Days")))))</f>
        <v/>
      </c>
      <c r="T128" s="16" t="inlineStr">
        <is>
          <t>Medium</t>
        </is>
      </c>
      <c r="U128" s="16" t="inlineStr">
        <is>
          <t>Pending</t>
        </is>
      </c>
      <c r="V128" s="16" t="inlineStr"/>
      <c r="W128" s="16" t="inlineStr"/>
      <c r="X128" s="16" t="inlineStr"/>
    </row>
    <row r="129">
      <c r="A129" s="16" t="inlineStr"/>
      <c r="B129" s="16" t="inlineStr"/>
      <c r="C129" s="17" t="inlineStr"/>
      <c r="D129" s="17" t="inlineStr"/>
      <c r="E129" s="16" t="inlineStr"/>
      <c r="F129" s="16" t="inlineStr"/>
      <c r="G129" s="16" t="inlineStr"/>
      <c r="H129" s="16" t="inlineStr"/>
      <c r="I129" s="16" t="inlineStr"/>
      <c r="J129" s="16" t="inlineStr">
        <is>
          <t>Open</t>
        </is>
      </c>
      <c r="K129" s="16" t="inlineStr">
        <is>
          <t>Medium</t>
        </is>
      </c>
      <c r="L129" s="16" t="inlineStr">
        <is>
          <t>Medium</t>
        </is>
      </c>
      <c r="M129" s="16" t="inlineStr">
        <is>
          <t>Possible</t>
        </is>
      </c>
      <c r="N129" s="21">
        <f>IF(OR(L129="",M129=""),"",IF(L129="Critical",4,IF(L129="High",3,IF(L129="Medium",2,1)))*IF(M129="Almost Certain",5,IF(M129="Likely",4,IF(M129="Possible",3,IF(M129="Unlikely",2,1)))))</f>
        <v/>
      </c>
      <c r="O129" s="20" t="inlineStr"/>
      <c r="P129" s="20" t="inlineStr"/>
      <c r="Q129" s="20" t="inlineStr"/>
      <c r="R129" s="21">
        <f>IF(O129="","",IF(Q129&lt;&gt;"",Q129-O129,TODAY()-O129))</f>
        <v/>
      </c>
      <c r="S129" s="17">
        <f>IF(R129="","",IF(R129&lt;=30,"0-30 Days",IF(R129&lt;=60,"31-60 Days",IF(R129&lt;=90,"61-90 Days",IF(R129&lt;=180,"91-180 Days","181+ Days")))))</f>
        <v/>
      </c>
      <c r="T129" s="16" t="inlineStr">
        <is>
          <t>Medium</t>
        </is>
      </c>
      <c r="U129" s="16" t="inlineStr">
        <is>
          <t>Pending</t>
        </is>
      </c>
      <c r="V129" s="16" t="inlineStr"/>
      <c r="W129" s="16" t="inlineStr"/>
      <c r="X129" s="16" t="inlineStr"/>
    </row>
    <row r="130">
      <c r="A130" s="16" t="inlineStr"/>
      <c r="B130" s="16" t="inlineStr"/>
      <c r="C130" s="17" t="inlineStr"/>
      <c r="D130" s="17" t="inlineStr"/>
      <c r="E130" s="16" t="inlineStr"/>
      <c r="F130" s="16" t="inlineStr"/>
      <c r="G130" s="16" t="inlineStr"/>
      <c r="H130" s="16" t="inlineStr"/>
      <c r="I130" s="16" t="inlineStr"/>
      <c r="J130" s="16" t="inlineStr">
        <is>
          <t>Open</t>
        </is>
      </c>
      <c r="K130" s="16" t="inlineStr">
        <is>
          <t>Medium</t>
        </is>
      </c>
      <c r="L130" s="16" t="inlineStr">
        <is>
          <t>Medium</t>
        </is>
      </c>
      <c r="M130" s="16" t="inlineStr">
        <is>
          <t>Possible</t>
        </is>
      </c>
      <c r="N130" s="21">
        <f>IF(OR(L130="",M130=""),"",IF(L130="Critical",4,IF(L130="High",3,IF(L130="Medium",2,1)))*IF(M130="Almost Certain",5,IF(M130="Likely",4,IF(M130="Possible",3,IF(M130="Unlikely",2,1)))))</f>
        <v/>
      </c>
      <c r="O130" s="20" t="inlineStr"/>
      <c r="P130" s="20" t="inlineStr"/>
      <c r="Q130" s="20" t="inlineStr"/>
      <c r="R130" s="21">
        <f>IF(O130="","",IF(Q130&lt;&gt;"",Q130-O130,TODAY()-O130))</f>
        <v/>
      </c>
      <c r="S130" s="17">
        <f>IF(R130="","",IF(R130&lt;=30,"0-30 Days",IF(R130&lt;=60,"31-60 Days",IF(R130&lt;=90,"61-90 Days",IF(R130&lt;=180,"91-180 Days","181+ Days")))))</f>
        <v/>
      </c>
      <c r="T130" s="16" t="inlineStr">
        <is>
          <t>Medium</t>
        </is>
      </c>
      <c r="U130" s="16" t="inlineStr">
        <is>
          <t>Pending</t>
        </is>
      </c>
      <c r="V130" s="16" t="inlineStr"/>
      <c r="W130" s="16" t="inlineStr"/>
      <c r="X130" s="16" t="inlineStr"/>
    </row>
    <row r="131">
      <c r="A131" s="16" t="inlineStr"/>
      <c r="B131" s="16" t="inlineStr"/>
      <c r="C131" s="17" t="inlineStr"/>
      <c r="D131" s="17" t="inlineStr"/>
      <c r="E131" s="16" t="inlineStr"/>
      <c r="F131" s="16" t="inlineStr"/>
      <c r="G131" s="16" t="inlineStr"/>
      <c r="H131" s="16" t="inlineStr"/>
      <c r="I131" s="16" t="inlineStr"/>
      <c r="J131" s="16" t="inlineStr">
        <is>
          <t>Open</t>
        </is>
      </c>
      <c r="K131" s="16" t="inlineStr">
        <is>
          <t>Medium</t>
        </is>
      </c>
      <c r="L131" s="16" t="inlineStr">
        <is>
          <t>Medium</t>
        </is>
      </c>
      <c r="M131" s="16" t="inlineStr">
        <is>
          <t>Possible</t>
        </is>
      </c>
      <c r="N131" s="21">
        <f>IF(OR(L131="",M131=""),"",IF(L131="Critical",4,IF(L131="High",3,IF(L131="Medium",2,1)))*IF(M131="Almost Certain",5,IF(M131="Likely",4,IF(M131="Possible",3,IF(M131="Unlikely",2,1)))))</f>
        <v/>
      </c>
      <c r="O131" s="20" t="inlineStr"/>
      <c r="P131" s="20" t="inlineStr"/>
      <c r="Q131" s="20" t="inlineStr"/>
      <c r="R131" s="21">
        <f>IF(O131="","",IF(Q131&lt;&gt;"",Q131-O131,TODAY()-O131))</f>
        <v/>
      </c>
      <c r="S131" s="17">
        <f>IF(R131="","",IF(R131&lt;=30,"0-30 Days",IF(R131&lt;=60,"31-60 Days",IF(R131&lt;=90,"61-90 Days",IF(R131&lt;=180,"91-180 Days","181+ Days")))))</f>
        <v/>
      </c>
      <c r="T131" s="16" t="inlineStr">
        <is>
          <t>Medium</t>
        </is>
      </c>
      <c r="U131" s="16" t="inlineStr">
        <is>
          <t>Pending</t>
        </is>
      </c>
      <c r="V131" s="16" t="inlineStr"/>
      <c r="W131" s="16" t="inlineStr"/>
      <c r="X131" s="16" t="inlineStr"/>
    </row>
    <row r="132">
      <c r="A132" s="16" t="inlineStr"/>
      <c r="B132" s="16" t="inlineStr"/>
      <c r="C132" s="17" t="inlineStr"/>
      <c r="D132" s="17" t="inlineStr"/>
      <c r="E132" s="16" t="inlineStr"/>
      <c r="F132" s="16" t="inlineStr"/>
      <c r="G132" s="16" t="inlineStr"/>
      <c r="H132" s="16" t="inlineStr"/>
      <c r="I132" s="16" t="inlineStr"/>
      <c r="J132" s="16" t="inlineStr">
        <is>
          <t>Open</t>
        </is>
      </c>
      <c r="K132" s="16" t="inlineStr">
        <is>
          <t>Medium</t>
        </is>
      </c>
      <c r="L132" s="16" t="inlineStr">
        <is>
          <t>Medium</t>
        </is>
      </c>
      <c r="M132" s="16" t="inlineStr">
        <is>
          <t>Possible</t>
        </is>
      </c>
      <c r="N132" s="21">
        <f>IF(OR(L132="",M132=""),"",IF(L132="Critical",4,IF(L132="High",3,IF(L132="Medium",2,1)))*IF(M132="Almost Certain",5,IF(M132="Likely",4,IF(M132="Possible",3,IF(M132="Unlikely",2,1)))))</f>
        <v/>
      </c>
      <c r="O132" s="20" t="inlineStr"/>
      <c r="P132" s="20" t="inlineStr"/>
      <c r="Q132" s="20" t="inlineStr"/>
      <c r="R132" s="21">
        <f>IF(O132="","",IF(Q132&lt;&gt;"",Q132-O132,TODAY()-O132))</f>
        <v/>
      </c>
      <c r="S132" s="17">
        <f>IF(R132="","",IF(R132&lt;=30,"0-30 Days",IF(R132&lt;=60,"31-60 Days",IF(R132&lt;=90,"61-90 Days",IF(R132&lt;=180,"91-180 Days","181+ Days")))))</f>
        <v/>
      </c>
      <c r="T132" s="16" t="inlineStr">
        <is>
          <t>Medium</t>
        </is>
      </c>
      <c r="U132" s="16" t="inlineStr">
        <is>
          <t>Pending</t>
        </is>
      </c>
      <c r="V132" s="16" t="inlineStr"/>
      <c r="W132" s="16" t="inlineStr"/>
      <c r="X132" s="16" t="inlineStr"/>
    </row>
    <row r="133">
      <c r="A133" s="16" t="inlineStr"/>
      <c r="B133" s="16" t="inlineStr"/>
      <c r="C133" s="17" t="inlineStr"/>
      <c r="D133" s="17" t="inlineStr"/>
      <c r="E133" s="16" t="inlineStr"/>
      <c r="F133" s="16" t="inlineStr"/>
      <c r="G133" s="16" t="inlineStr"/>
      <c r="H133" s="16" t="inlineStr"/>
      <c r="I133" s="16" t="inlineStr"/>
      <c r="J133" s="16" t="inlineStr">
        <is>
          <t>Open</t>
        </is>
      </c>
      <c r="K133" s="16" t="inlineStr">
        <is>
          <t>Medium</t>
        </is>
      </c>
      <c r="L133" s="16" t="inlineStr">
        <is>
          <t>Medium</t>
        </is>
      </c>
      <c r="M133" s="16" t="inlineStr">
        <is>
          <t>Possible</t>
        </is>
      </c>
      <c r="N133" s="21">
        <f>IF(OR(L133="",M133=""),"",IF(L133="Critical",4,IF(L133="High",3,IF(L133="Medium",2,1)))*IF(M133="Almost Certain",5,IF(M133="Likely",4,IF(M133="Possible",3,IF(M133="Unlikely",2,1)))))</f>
        <v/>
      </c>
      <c r="O133" s="20" t="inlineStr"/>
      <c r="P133" s="20" t="inlineStr"/>
      <c r="Q133" s="20" t="inlineStr"/>
      <c r="R133" s="21">
        <f>IF(O133="","",IF(Q133&lt;&gt;"",Q133-O133,TODAY()-O133))</f>
        <v/>
      </c>
      <c r="S133" s="17">
        <f>IF(R133="","",IF(R133&lt;=30,"0-30 Days",IF(R133&lt;=60,"31-60 Days",IF(R133&lt;=90,"61-90 Days",IF(R133&lt;=180,"91-180 Days","181+ Days")))))</f>
        <v/>
      </c>
      <c r="T133" s="16" t="inlineStr">
        <is>
          <t>Medium</t>
        </is>
      </c>
      <c r="U133" s="16" t="inlineStr">
        <is>
          <t>Pending</t>
        </is>
      </c>
      <c r="V133" s="16" t="inlineStr"/>
      <c r="W133" s="16" t="inlineStr"/>
      <c r="X133" s="16" t="inlineStr"/>
    </row>
    <row r="134">
      <c r="A134" s="16" t="inlineStr"/>
      <c r="B134" s="16" t="inlineStr"/>
      <c r="C134" s="17" t="inlineStr"/>
      <c r="D134" s="17" t="inlineStr"/>
      <c r="E134" s="16" t="inlineStr"/>
      <c r="F134" s="16" t="inlineStr"/>
      <c r="G134" s="16" t="inlineStr"/>
      <c r="H134" s="16" t="inlineStr"/>
      <c r="I134" s="16" t="inlineStr"/>
      <c r="J134" s="16" t="inlineStr">
        <is>
          <t>Open</t>
        </is>
      </c>
      <c r="K134" s="16" t="inlineStr">
        <is>
          <t>Medium</t>
        </is>
      </c>
      <c r="L134" s="16" t="inlineStr">
        <is>
          <t>Medium</t>
        </is>
      </c>
      <c r="M134" s="16" t="inlineStr">
        <is>
          <t>Possible</t>
        </is>
      </c>
      <c r="N134" s="21">
        <f>IF(OR(L134="",M134=""),"",IF(L134="Critical",4,IF(L134="High",3,IF(L134="Medium",2,1)))*IF(M134="Almost Certain",5,IF(M134="Likely",4,IF(M134="Possible",3,IF(M134="Unlikely",2,1)))))</f>
        <v/>
      </c>
      <c r="O134" s="20" t="inlineStr"/>
      <c r="P134" s="20" t="inlineStr"/>
      <c r="Q134" s="20" t="inlineStr"/>
      <c r="R134" s="21">
        <f>IF(O134="","",IF(Q134&lt;&gt;"",Q134-O134,TODAY()-O134))</f>
        <v/>
      </c>
      <c r="S134" s="17">
        <f>IF(R134="","",IF(R134&lt;=30,"0-30 Days",IF(R134&lt;=60,"31-60 Days",IF(R134&lt;=90,"61-90 Days",IF(R134&lt;=180,"91-180 Days","181+ Days")))))</f>
        <v/>
      </c>
      <c r="T134" s="16" t="inlineStr">
        <is>
          <t>Medium</t>
        </is>
      </c>
      <c r="U134" s="16" t="inlineStr">
        <is>
          <t>Pending</t>
        </is>
      </c>
      <c r="V134" s="16" t="inlineStr"/>
      <c r="W134" s="16" t="inlineStr"/>
      <c r="X134" s="16" t="inlineStr"/>
    </row>
    <row r="135">
      <c r="A135" s="16" t="inlineStr"/>
      <c r="B135" s="16" t="inlineStr"/>
      <c r="C135" s="17" t="inlineStr"/>
      <c r="D135" s="17" t="inlineStr"/>
      <c r="E135" s="16" t="inlineStr"/>
      <c r="F135" s="16" t="inlineStr"/>
      <c r="G135" s="16" t="inlineStr"/>
      <c r="H135" s="16" t="inlineStr"/>
      <c r="I135" s="16" t="inlineStr"/>
      <c r="J135" s="16" t="inlineStr">
        <is>
          <t>Open</t>
        </is>
      </c>
      <c r="K135" s="16" t="inlineStr">
        <is>
          <t>Medium</t>
        </is>
      </c>
      <c r="L135" s="16" t="inlineStr">
        <is>
          <t>Medium</t>
        </is>
      </c>
      <c r="M135" s="16" t="inlineStr">
        <is>
          <t>Possible</t>
        </is>
      </c>
      <c r="N135" s="21">
        <f>IF(OR(L135="",M135=""),"",IF(L135="Critical",4,IF(L135="High",3,IF(L135="Medium",2,1)))*IF(M135="Almost Certain",5,IF(M135="Likely",4,IF(M135="Possible",3,IF(M135="Unlikely",2,1)))))</f>
        <v/>
      </c>
      <c r="O135" s="20" t="inlineStr"/>
      <c r="P135" s="20" t="inlineStr"/>
      <c r="Q135" s="20" t="inlineStr"/>
      <c r="R135" s="21">
        <f>IF(O135="","",IF(Q135&lt;&gt;"",Q135-O135,TODAY()-O135))</f>
        <v/>
      </c>
      <c r="S135" s="17">
        <f>IF(R135="","",IF(R135&lt;=30,"0-30 Days",IF(R135&lt;=60,"31-60 Days",IF(R135&lt;=90,"61-90 Days",IF(R135&lt;=180,"91-180 Days","181+ Days")))))</f>
        <v/>
      </c>
      <c r="T135" s="16" t="inlineStr">
        <is>
          <t>Medium</t>
        </is>
      </c>
      <c r="U135" s="16" t="inlineStr">
        <is>
          <t>Pending</t>
        </is>
      </c>
      <c r="V135" s="16" t="inlineStr"/>
      <c r="W135" s="16" t="inlineStr"/>
      <c r="X135" s="16" t="inlineStr"/>
    </row>
    <row r="136">
      <c r="A136" s="16" t="inlineStr"/>
      <c r="B136" s="16" t="inlineStr"/>
      <c r="C136" s="17" t="inlineStr"/>
      <c r="D136" s="17" t="inlineStr"/>
      <c r="E136" s="16" t="inlineStr"/>
      <c r="F136" s="16" t="inlineStr"/>
      <c r="G136" s="16" t="inlineStr"/>
      <c r="H136" s="16" t="inlineStr"/>
      <c r="I136" s="16" t="inlineStr"/>
      <c r="J136" s="16" t="inlineStr">
        <is>
          <t>Open</t>
        </is>
      </c>
      <c r="K136" s="16" t="inlineStr">
        <is>
          <t>Medium</t>
        </is>
      </c>
      <c r="L136" s="16" t="inlineStr">
        <is>
          <t>Medium</t>
        </is>
      </c>
      <c r="M136" s="16" t="inlineStr">
        <is>
          <t>Possible</t>
        </is>
      </c>
      <c r="N136" s="21">
        <f>IF(OR(L136="",M136=""),"",IF(L136="Critical",4,IF(L136="High",3,IF(L136="Medium",2,1)))*IF(M136="Almost Certain",5,IF(M136="Likely",4,IF(M136="Possible",3,IF(M136="Unlikely",2,1)))))</f>
        <v/>
      </c>
      <c r="O136" s="20" t="inlineStr"/>
      <c r="P136" s="20" t="inlineStr"/>
      <c r="Q136" s="20" t="inlineStr"/>
      <c r="R136" s="21">
        <f>IF(O136="","",IF(Q136&lt;&gt;"",Q136-O136,TODAY()-O136))</f>
        <v/>
      </c>
      <c r="S136" s="17">
        <f>IF(R136="","",IF(R136&lt;=30,"0-30 Days",IF(R136&lt;=60,"31-60 Days",IF(R136&lt;=90,"61-90 Days",IF(R136&lt;=180,"91-180 Days","181+ Days")))))</f>
        <v/>
      </c>
      <c r="T136" s="16" t="inlineStr">
        <is>
          <t>Medium</t>
        </is>
      </c>
      <c r="U136" s="16" t="inlineStr">
        <is>
          <t>Pending</t>
        </is>
      </c>
      <c r="V136" s="16" t="inlineStr"/>
      <c r="W136" s="16" t="inlineStr"/>
      <c r="X136" s="16" t="inlineStr"/>
    </row>
    <row r="137">
      <c r="A137" s="16" t="inlineStr"/>
      <c r="B137" s="16" t="inlineStr"/>
      <c r="C137" s="17" t="inlineStr"/>
      <c r="D137" s="17" t="inlineStr"/>
      <c r="E137" s="16" t="inlineStr"/>
      <c r="F137" s="16" t="inlineStr"/>
      <c r="G137" s="16" t="inlineStr"/>
      <c r="H137" s="16" t="inlineStr"/>
      <c r="I137" s="16" t="inlineStr"/>
      <c r="J137" s="16" t="inlineStr">
        <is>
          <t>Open</t>
        </is>
      </c>
      <c r="K137" s="16" t="inlineStr">
        <is>
          <t>Medium</t>
        </is>
      </c>
      <c r="L137" s="16" t="inlineStr">
        <is>
          <t>Medium</t>
        </is>
      </c>
      <c r="M137" s="16" t="inlineStr">
        <is>
          <t>Possible</t>
        </is>
      </c>
      <c r="N137" s="21">
        <f>IF(OR(L137="",M137=""),"",IF(L137="Critical",4,IF(L137="High",3,IF(L137="Medium",2,1)))*IF(M137="Almost Certain",5,IF(M137="Likely",4,IF(M137="Possible",3,IF(M137="Unlikely",2,1)))))</f>
        <v/>
      </c>
      <c r="O137" s="20" t="inlineStr"/>
      <c r="P137" s="20" t="inlineStr"/>
      <c r="Q137" s="20" t="inlineStr"/>
      <c r="R137" s="21">
        <f>IF(O137="","",IF(Q137&lt;&gt;"",Q137-O137,TODAY()-O137))</f>
        <v/>
      </c>
      <c r="S137" s="17">
        <f>IF(R137="","",IF(R137&lt;=30,"0-30 Days",IF(R137&lt;=60,"31-60 Days",IF(R137&lt;=90,"61-90 Days",IF(R137&lt;=180,"91-180 Days","181+ Days")))))</f>
        <v/>
      </c>
      <c r="T137" s="16" t="inlineStr">
        <is>
          <t>Medium</t>
        </is>
      </c>
      <c r="U137" s="16" t="inlineStr">
        <is>
          <t>Pending</t>
        </is>
      </c>
      <c r="V137" s="16" t="inlineStr"/>
      <c r="W137" s="16" t="inlineStr"/>
      <c r="X137" s="16" t="inlineStr"/>
    </row>
    <row r="138">
      <c r="A138" s="16" t="inlineStr"/>
      <c r="B138" s="16" t="inlineStr"/>
      <c r="C138" s="17" t="inlineStr"/>
      <c r="D138" s="17" t="inlineStr"/>
      <c r="E138" s="16" t="inlineStr"/>
      <c r="F138" s="16" t="inlineStr"/>
      <c r="G138" s="16" t="inlineStr"/>
      <c r="H138" s="16" t="inlineStr"/>
      <c r="I138" s="16" t="inlineStr"/>
      <c r="J138" s="16" t="inlineStr">
        <is>
          <t>Open</t>
        </is>
      </c>
      <c r="K138" s="16" t="inlineStr">
        <is>
          <t>Medium</t>
        </is>
      </c>
      <c r="L138" s="16" t="inlineStr">
        <is>
          <t>Medium</t>
        </is>
      </c>
      <c r="M138" s="16" t="inlineStr">
        <is>
          <t>Possible</t>
        </is>
      </c>
      <c r="N138" s="21">
        <f>IF(OR(L138="",M138=""),"",IF(L138="Critical",4,IF(L138="High",3,IF(L138="Medium",2,1)))*IF(M138="Almost Certain",5,IF(M138="Likely",4,IF(M138="Possible",3,IF(M138="Unlikely",2,1)))))</f>
        <v/>
      </c>
      <c r="O138" s="20" t="inlineStr"/>
      <c r="P138" s="20" t="inlineStr"/>
      <c r="Q138" s="20" t="inlineStr"/>
      <c r="R138" s="21">
        <f>IF(O138="","",IF(Q138&lt;&gt;"",Q138-O138,TODAY()-O138))</f>
        <v/>
      </c>
      <c r="S138" s="17">
        <f>IF(R138="","",IF(R138&lt;=30,"0-30 Days",IF(R138&lt;=60,"31-60 Days",IF(R138&lt;=90,"61-90 Days",IF(R138&lt;=180,"91-180 Days","181+ Days")))))</f>
        <v/>
      </c>
      <c r="T138" s="16" t="inlineStr">
        <is>
          <t>Medium</t>
        </is>
      </c>
      <c r="U138" s="16" t="inlineStr">
        <is>
          <t>Pending</t>
        </is>
      </c>
      <c r="V138" s="16" t="inlineStr"/>
      <c r="W138" s="16" t="inlineStr"/>
      <c r="X138" s="16" t="inlineStr"/>
    </row>
    <row r="139">
      <c r="A139" s="16" t="inlineStr"/>
      <c r="B139" s="16" t="inlineStr"/>
      <c r="C139" s="17" t="inlineStr"/>
      <c r="D139" s="17" t="inlineStr"/>
      <c r="E139" s="16" t="inlineStr"/>
      <c r="F139" s="16" t="inlineStr"/>
      <c r="G139" s="16" t="inlineStr"/>
      <c r="H139" s="16" t="inlineStr"/>
      <c r="I139" s="16" t="inlineStr"/>
      <c r="J139" s="16" t="inlineStr">
        <is>
          <t>Open</t>
        </is>
      </c>
      <c r="K139" s="16" t="inlineStr">
        <is>
          <t>Medium</t>
        </is>
      </c>
      <c r="L139" s="16" t="inlineStr">
        <is>
          <t>Medium</t>
        </is>
      </c>
      <c r="M139" s="16" t="inlineStr">
        <is>
          <t>Possible</t>
        </is>
      </c>
      <c r="N139" s="21">
        <f>IF(OR(L139="",M139=""),"",IF(L139="Critical",4,IF(L139="High",3,IF(L139="Medium",2,1)))*IF(M139="Almost Certain",5,IF(M139="Likely",4,IF(M139="Possible",3,IF(M139="Unlikely",2,1)))))</f>
        <v/>
      </c>
      <c r="O139" s="20" t="inlineStr"/>
      <c r="P139" s="20" t="inlineStr"/>
      <c r="Q139" s="20" t="inlineStr"/>
      <c r="R139" s="21">
        <f>IF(O139="","",IF(Q139&lt;&gt;"",Q139-O139,TODAY()-O139))</f>
        <v/>
      </c>
      <c r="S139" s="17">
        <f>IF(R139="","",IF(R139&lt;=30,"0-30 Days",IF(R139&lt;=60,"31-60 Days",IF(R139&lt;=90,"61-90 Days",IF(R139&lt;=180,"91-180 Days","181+ Days")))))</f>
        <v/>
      </c>
      <c r="T139" s="16" t="inlineStr">
        <is>
          <t>Medium</t>
        </is>
      </c>
      <c r="U139" s="16" t="inlineStr">
        <is>
          <t>Pending</t>
        </is>
      </c>
      <c r="V139" s="16" t="inlineStr"/>
      <c r="W139" s="16" t="inlineStr"/>
      <c r="X139" s="16" t="inlineStr"/>
    </row>
    <row r="140">
      <c r="A140" s="16" t="inlineStr"/>
      <c r="B140" s="16" t="inlineStr"/>
      <c r="C140" s="17" t="inlineStr"/>
      <c r="D140" s="17" t="inlineStr"/>
      <c r="E140" s="16" t="inlineStr"/>
      <c r="F140" s="16" t="inlineStr"/>
      <c r="G140" s="16" t="inlineStr"/>
      <c r="H140" s="16" t="inlineStr"/>
      <c r="I140" s="16" t="inlineStr"/>
      <c r="J140" s="16" t="inlineStr">
        <is>
          <t>Open</t>
        </is>
      </c>
      <c r="K140" s="16" t="inlineStr">
        <is>
          <t>Medium</t>
        </is>
      </c>
      <c r="L140" s="16" t="inlineStr">
        <is>
          <t>Medium</t>
        </is>
      </c>
      <c r="M140" s="16" t="inlineStr">
        <is>
          <t>Possible</t>
        </is>
      </c>
      <c r="N140" s="21">
        <f>IF(OR(L140="",M140=""),"",IF(L140="Critical",4,IF(L140="High",3,IF(L140="Medium",2,1)))*IF(M140="Almost Certain",5,IF(M140="Likely",4,IF(M140="Possible",3,IF(M140="Unlikely",2,1)))))</f>
        <v/>
      </c>
      <c r="O140" s="20" t="inlineStr"/>
      <c r="P140" s="20" t="inlineStr"/>
      <c r="Q140" s="20" t="inlineStr"/>
      <c r="R140" s="21">
        <f>IF(O140="","",IF(Q140&lt;&gt;"",Q140-O140,TODAY()-O140))</f>
        <v/>
      </c>
      <c r="S140" s="17">
        <f>IF(R140="","",IF(R140&lt;=30,"0-30 Days",IF(R140&lt;=60,"31-60 Days",IF(R140&lt;=90,"61-90 Days",IF(R140&lt;=180,"91-180 Days","181+ Days")))))</f>
        <v/>
      </c>
      <c r="T140" s="16" t="inlineStr">
        <is>
          <t>Medium</t>
        </is>
      </c>
      <c r="U140" s="16" t="inlineStr">
        <is>
          <t>Pending</t>
        </is>
      </c>
      <c r="V140" s="16" t="inlineStr"/>
      <c r="W140" s="16" t="inlineStr"/>
      <c r="X140" s="16" t="inlineStr"/>
    </row>
    <row r="141">
      <c r="A141" s="16" t="inlineStr"/>
      <c r="B141" s="16" t="inlineStr"/>
      <c r="C141" s="17" t="inlineStr"/>
      <c r="D141" s="17" t="inlineStr"/>
      <c r="E141" s="16" t="inlineStr"/>
      <c r="F141" s="16" t="inlineStr"/>
      <c r="G141" s="16" t="inlineStr"/>
      <c r="H141" s="16" t="inlineStr"/>
      <c r="I141" s="16" t="inlineStr"/>
      <c r="J141" s="16" t="inlineStr">
        <is>
          <t>Open</t>
        </is>
      </c>
      <c r="K141" s="16" t="inlineStr">
        <is>
          <t>Medium</t>
        </is>
      </c>
      <c r="L141" s="16" t="inlineStr">
        <is>
          <t>Medium</t>
        </is>
      </c>
      <c r="M141" s="16" t="inlineStr">
        <is>
          <t>Possible</t>
        </is>
      </c>
      <c r="N141" s="21">
        <f>IF(OR(L141="",M141=""),"",IF(L141="Critical",4,IF(L141="High",3,IF(L141="Medium",2,1)))*IF(M141="Almost Certain",5,IF(M141="Likely",4,IF(M141="Possible",3,IF(M141="Unlikely",2,1)))))</f>
        <v/>
      </c>
      <c r="O141" s="20" t="inlineStr"/>
      <c r="P141" s="20" t="inlineStr"/>
      <c r="Q141" s="20" t="inlineStr"/>
      <c r="R141" s="21">
        <f>IF(O141="","",IF(Q141&lt;&gt;"",Q141-O141,TODAY()-O141))</f>
        <v/>
      </c>
      <c r="S141" s="17">
        <f>IF(R141="","",IF(R141&lt;=30,"0-30 Days",IF(R141&lt;=60,"31-60 Days",IF(R141&lt;=90,"61-90 Days",IF(R141&lt;=180,"91-180 Days","181+ Days")))))</f>
        <v/>
      </c>
      <c r="T141" s="16" t="inlineStr">
        <is>
          <t>Medium</t>
        </is>
      </c>
      <c r="U141" s="16" t="inlineStr">
        <is>
          <t>Pending</t>
        </is>
      </c>
      <c r="V141" s="16" t="inlineStr"/>
      <c r="W141" s="16" t="inlineStr"/>
      <c r="X141" s="16" t="inlineStr"/>
    </row>
    <row r="142">
      <c r="A142" s="16" t="inlineStr"/>
      <c r="B142" s="16" t="inlineStr"/>
      <c r="C142" s="17" t="inlineStr"/>
      <c r="D142" s="17" t="inlineStr"/>
      <c r="E142" s="16" t="inlineStr"/>
      <c r="F142" s="16" t="inlineStr"/>
      <c r="G142" s="16" t="inlineStr"/>
      <c r="H142" s="16" t="inlineStr"/>
      <c r="I142" s="16" t="inlineStr"/>
      <c r="J142" s="16" t="inlineStr">
        <is>
          <t>Open</t>
        </is>
      </c>
      <c r="K142" s="16" t="inlineStr">
        <is>
          <t>Medium</t>
        </is>
      </c>
      <c r="L142" s="16" t="inlineStr">
        <is>
          <t>Medium</t>
        </is>
      </c>
      <c r="M142" s="16" t="inlineStr">
        <is>
          <t>Possible</t>
        </is>
      </c>
      <c r="N142" s="21">
        <f>IF(OR(L142="",M142=""),"",IF(L142="Critical",4,IF(L142="High",3,IF(L142="Medium",2,1)))*IF(M142="Almost Certain",5,IF(M142="Likely",4,IF(M142="Possible",3,IF(M142="Unlikely",2,1)))))</f>
        <v/>
      </c>
      <c r="O142" s="20" t="inlineStr"/>
      <c r="P142" s="20" t="inlineStr"/>
      <c r="Q142" s="20" t="inlineStr"/>
      <c r="R142" s="21">
        <f>IF(O142="","",IF(Q142&lt;&gt;"",Q142-O142,TODAY()-O142))</f>
        <v/>
      </c>
      <c r="S142" s="17">
        <f>IF(R142="","",IF(R142&lt;=30,"0-30 Days",IF(R142&lt;=60,"31-60 Days",IF(R142&lt;=90,"61-90 Days",IF(R142&lt;=180,"91-180 Days","181+ Days")))))</f>
        <v/>
      </c>
      <c r="T142" s="16" t="inlineStr">
        <is>
          <t>Medium</t>
        </is>
      </c>
      <c r="U142" s="16" t="inlineStr">
        <is>
          <t>Pending</t>
        </is>
      </c>
      <c r="V142" s="16" t="inlineStr"/>
      <c r="W142" s="16" t="inlineStr"/>
      <c r="X142" s="16" t="inlineStr"/>
    </row>
    <row r="143">
      <c r="A143" s="16" t="inlineStr"/>
      <c r="B143" s="16" t="inlineStr"/>
      <c r="C143" s="17" t="inlineStr"/>
      <c r="D143" s="17" t="inlineStr"/>
      <c r="E143" s="16" t="inlineStr"/>
      <c r="F143" s="16" t="inlineStr"/>
      <c r="G143" s="16" t="inlineStr"/>
      <c r="H143" s="16" t="inlineStr"/>
      <c r="I143" s="16" t="inlineStr"/>
      <c r="J143" s="16" t="inlineStr">
        <is>
          <t>Open</t>
        </is>
      </c>
      <c r="K143" s="16" t="inlineStr">
        <is>
          <t>Medium</t>
        </is>
      </c>
      <c r="L143" s="16" t="inlineStr">
        <is>
          <t>Medium</t>
        </is>
      </c>
      <c r="M143" s="16" t="inlineStr">
        <is>
          <t>Possible</t>
        </is>
      </c>
      <c r="N143" s="21">
        <f>IF(OR(L143="",M143=""),"",IF(L143="Critical",4,IF(L143="High",3,IF(L143="Medium",2,1)))*IF(M143="Almost Certain",5,IF(M143="Likely",4,IF(M143="Possible",3,IF(M143="Unlikely",2,1)))))</f>
        <v/>
      </c>
      <c r="O143" s="20" t="inlineStr"/>
      <c r="P143" s="20" t="inlineStr"/>
      <c r="Q143" s="20" t="inlineStr"/>
      <c r="R143" s="21">
        <f>IF(O143="","",IF(Q143&lt;&gt;"",Q143-O143,TODAY()-O143))</f>
        <v/>
      </c>
      <c r="S143" s="17">
        <f>IF(R143="","",IF(R143&lt;=30,"0-30 Days",IF(R143&lt;=60,"31-60 Days",IF(R143&lt;=90,"61-90 Days",IF(R143&lt;=180,"91-180 Days","181+ Days")))))</f>
        <v/>
      </c>
      <c r="T143" s="16" t="inlineStr">
        <is>
          <t>Medium</t>
        </is>
      </c>
      <c r="U143" s="16" t="inlineStr">
        <is>
          <t>Pending</t>
        </is>
      </c>
      <c r="V143" s="16" t="inlineStr"/>
      <c r="W143" s="16" t="inlineStr"/>
      <c r="X143" s="16" t="inlineStr"/>
    </row>
    <row r="144">
      <c r="A144" s="16" t="inlineStr"/>
      <c r="B144" s="16" t="inlineStr"/>
      <c r="C144" s="17" t="inlineStr"/>
      <c r="D144" s="17" t="inlineStr"/>
      <c r="E144" s="16" t="inlineStr"/>
      <c r="F144" s="16" t="inlineStr"/>
      <c r="G144" s="16" t="inlineStr"/>
      <c r="H144" s="16" t="inlineStr"/>
      <c r="I144" s="16" t="inlineStr"/>
      <c r="J144" s="16" t="inlineStr">
        <is>
          <t>Open</t>
        </is>
      </c>
      <c r="K144" s="16" t="inlineStr">
        <is>
          <t>Medium</t>
        </is>
      </c>
      <c r="L144" s="16" t="inlineStr">
        <is>
          <t>Medium</t>
        </is>
      </c>
      <c r="M144" s="16" t="inlineStr">
        <is>
          <t>Possible</t>
        </is>
      </c>
      <c r="N144" s="21">
        <f>IF(OR(L144="",M144=""),"",IF(L144="Critical",4,IF(L144="High",3,IF(L144="Medium",2,1)))*IF(M144="Almost Certain",5,IF(M144="Likely",4,IF(M144="Possible",3,IF(M144="Unlikely",2,1)))))</f>
        <v/>
      </c>
      <c r="O144" s="20" t="inlineStr"/>
      <c r="P144" s="20" t="inlineStr"/>
      <c r="Q144" s="20" t="inlineStr"/>
      <c r="R144" s="21">
        <f>IF(O144="","",IF(Q144&lt;&gt;"",Q144-O144,TODAY()-O144))</f>
        <v/>
      </c>
      <c r="S144" s="17">
        <f>IF(R144="","",IF(R144&lt;=30,"0-30 Days",IF(R144&lt;=60,"31-60 Days",IF(R144&lt;=90,"61-90 Days",IF(R144&lt;=180,"91-180 Days","181+ Days")))))</f>
        <v/>
      </c>
      <c r="T144" s="16" t="inlineStr">
        <is>
          <t>Medium</t>
        </is>
      </c>
      <c r="U144" s="16" t="inlineStr">
        <is>
          <t>Pending</t>
        </is>
      </c>
      <c r="V144" s="16" t="inlineStr"/>
      <c r="W144" s="16" t="inlineStr"/>
      <c r="X144" s="16" t="inlineStr"/>
    </row>
    <row r="145">
      <c r="A145" s="16" t="inlineStr"/>
      <c r="B145" s="16" t="inlineStr"/>
      <c r="C145" s="17" t="inlineStr"/>
      <c r="D145" s="17" t="inlineStr"/>
      <c r="E145" s="16" t="inlineStr"/>
      <c r="F145" s="16" t="inlineStr"/>
      <c r="G145" s="16" t="inlineStr"/>
      <c r="H145" s="16" t="inlineStr"/>
      <c r="I145" s="16" t="inlineStr"/>
      <c r="J145" s="16" t="inlineStr">
        <is>
          <t>Open</t>
        </is>
      </c>
      <c r="K145" s="16" t="inlineStr">
        <is>
          <t>Medium</t>
        </is>
      </c>
      <c r="L145" s="16" t="inlineStr">
        <is>
          <t>Medium</t>
        </is>
      </c>
      <c r="M145" s="16" t="inlineStr">
        <is>
          <t>Possible</t>
        </is>
      </c>
      <c r="N145" s="21">
        <f>IF(OR(L145="",M145=""),"",IF(L145="Critical",4,IF(L145="High",3,IF(L145="Medium",2,1)))*IF(M145="Almost Certain",5,IF(M145="Likely",4,IF(M145="Possible",3,IF(M145="Unlikely",2,1)))))</f>
        <v/>
      </c>
      <c r="O145" s="20" t="inlineStr"/>
      <c r="P145" s="20" t="inlineStr"/>
      <c r="Q145" s="20" t="inlineStr"/>
      <c r="R145" s="21">
        <f>IF(O145="","",IF(Q145&lt;&gt;"",Q145-O145,TODAY()-O145))</f>
        <v/>
      </c>
      <c r="S145" s="17">
        <f>IF(R145="","",IF(R145&lt;=30,"0-30 Days",IF(R145&lt;=60,"31-60 Days",IF(R145&lt;=90,"61-90 Days",IF(R145&lt;=180,"91-180 Days","181+ Days")))))</f>
        <v/>
      </c>
      <c r="T145" s="16" t="inlineStr">
        <is>
          <t>Medium</t>
        </is>
      </c>
      <c r="U145" s="16" t="inlineStr">
        <is>
          <t>Pending</t>
        </is>
      </c>
      <c r="V145" s="16" t="inlineStr"/>
      <c r="W145" s="16" t="inlineStr"/>
      <c r="X145" s="16" t="inlineStr"/>
    </row>
    <row r="146">
      <c r="A146" s="16" t="inlineStr"/>
      <c r="B146" s="16" t="inlineStr"/>
      <c r="C146" s="17" t="inlineStr"/>
      <c r="D146" s="17" t="inlineStr"/>
      <c r="E146" s="16" t="inlineStr"/>
      <c r="F146" s="16" t="inlineStr"/>
      <c r="G146" s="16" t="inlineStr"/>
      <c r="H146" s="16" t="inlineStr"/>
      <c r="I146" s="16" t="inlineStr"/>
      <c r="J146" s="16" t="inlineStr">
        <is>
          <t>Open</t>
        </is>
      </c>
      <c r="K146" s="16" t="inlineStr">
        <is>
          <t>Medium</t>
        </is>
      </c>
      <c r="L146" s="16" t="inlineStr">
        <is>
          <t>Medium</t>
        </is>
      </c>
      <c r="M146" s="16" t="inlineStr">
        <is>
          <t>Possible</t>
        </is>
      </c>
      <c r="N146" s="21">
        <f>IF(OR(L146="",M146=""),"",IF(L146="Critical",4,IF(L146="High",3,IF(L146="Medium",2,1)))*IF(M146="Almost Certain",5,IF(M146="Likely",4,IF(M146="Possible",3,IF(M146="Unlikely",2,1)))))</f>
        <v/>
      </c>
      <c r="O146" s="20" t="inlineStr"/>
      <c r="P146" s="20" t="inlineStr"/>
      <c r="Q146" s="20" t="inlineStr"/>
      <c r="R146" s="21">
        <f>IF(O146="","",IF(Q146&lt;&gt;"",Q146-O146,TODAY()-O146))</f>
        <v/>
      </c>
      <c r="S146" s="17">
        <f>IF(R146="","",IF(R146&lt;=30,"0-30 Days",IF(R146&lt;=60,"31-60 Days",IF(R146&lt;=90,"61-90 Days",IF(R146&lt;=180,"91-180 Days","181+ Days")))))</f>
        <v/>
      </c>
      <c r="T146" s="16" t="inlineStr">
        <is>
          <t>Medium</t>
        </is>
      </c>
      <c r="U146" s="16" t="inlineStr">
        <is>
          <t>Pending</t>
        </is>
      </c>
      <c r="V146" s="16" t="inlineStr"/>
      <c r="W146" s="16" t="inlineStr"/>
      <c r="X146" s="16" t="inlineStr"/>
    </row>
    <row r="147">
      <c r="A147" s="16" t="inlineStr"/>
      <c r="B147" s="16" t="inlineStr"/>
      <c r="C147" s="17" t="inlineStr"/>
      <c r="D147" s="17" t="inlineStr"/>
      <c r="E147" s="16" t="inlineStr"/>
      <c r="F147" s="16" t="inlineStr"/>
      <c r="G147" s="16" t="inlineStr"/>
      <c r="H147" s="16" t="inlineStr"/>
      <c r="I147" s="16" t="inlineStr"/>
      <c r="J147" s="16" t="inlineStr">
        <is>
          <t>Open</t>
        </is>
      </c>
      <c r="K147" s="16" t="inlineStr">
        <is>
          <t>Medium</t>
        </is>
      </c>
      <c r="L147" s="16" t="inlineStr">
        <is>
          <t>Medium</t>
        </is>
      </c>
      <c r="M147" s="16" t="inlineStr">
        <is>
          <t>Possible</t>
        </is>
      </c>
      <c r="N147" s="21">
        <f>IF(OR(L147="",M147=""),"",IF(L147="Critical",4,IF(L147="High",3,IF(L147="Medium",2,1)))*IF(M147="Almost Certain",5,IF(M147="Likely",4,IF(M147="Possible",3,IF(M147="Unlikely",2,1)))))</f>
        <v/>
      </c>
      <c r="O147" s="20" t="inlineStr"/>
      <c r="P147" s="20" t="inlineStr"/>
      <c r="Q147" s="20" t="inlineStr"/>
      <c r="R147" s="21">
        <f>IF(O147="","",IF(Q147&lt;&gt;"",Q147-O147,TODAY()-O147))</f>
        <v/>
      </c>
      <c r="S147" s="17">
        <f>IF(R147="","",IF(R147&lt;=30,"0-30 Days",IF(R147&lt;=60,"31-60 Days",IF(R147&lt;=90,"61-90 Days",IF(R147&lt;=180,"91-180 Days","181+ Days")))))</f>
        <v/>
      </c>
      <c r="T147" s="16" t="inlineStr">
        <is>
          <t>Medium</t>
        </is>
      </c>
      <c r="U147" s="16" t="inlineStr">
        <is>
          <t>Pending</t>
        </is>
      </c>
      <c r="V147" s="16" t="inlineStr"/>
      <c r="W147" s="16" t="inlineStr"/>
      <c r="X147" s="16" t="inlineStr"/>
    </row>
    <row r="148">
      <c r="A148" s="16" t="inlineStr"/>
      <c r="B148" s="16" t="inlineStr"/>
      <c r="C148" s="17" t="inlineStr"/>
      <c r="D148" s="17" t="inlineStr"/>
      <c r="E148" s="16" t="inlineStr"/>
      <c r="F148" s="16" t="inlineStr"/>
      <c r="G148" s="16" t="inlineStr"/>
      <c r="H148" s="16" t="inlineStr"/>
      <c r="I148" s="16" t="inlineStr"/>
      <c r="J148" s="16" t="inlineStr">
        <is>
          <t>Open</t>
        </is>
      </c>
      <c r="K148" s="16" t="inlineStr">
        <is>
          <t>Medium</t>
        </is>
      </c>
      <c r="L148" s="16" t="inlineStr">
        <is>
          <t>Medium</t>
        </is>
      </c>
      <c r="M148" s="16" t="inlineStr">
        <is>
          <t>Possible</t>
        </is>
      </c>
      <c r="N148" s="21">
        <f>IF(OR(L148="",M148=""),"",IF(L148="Critical",4,IF(L148="High",3,IF(L148="Medium",2,1)))*IF(M148="Almost Certain",5,IF(M148="Likely",4,IF(M148="Possible",3,IF(M148="Unlikely",2,1)))))</f>
        <v/>
      </c>
      <c r="O148" s="20" t="inlineStr"/>
      <c r="P148" s="20" t="inlineStr"/>
      <c r="Q148" s="20" t="inlineStr"/>
      <c r="R148" s="21">
        <f>IF(O148="","",IF(Q148&lt;&gt;"",Q148-O148,TODAY()-O148))</f>
        <v/>
      </c>
      <c r="S148" s="17">
        <f>IF(R148="","",IF(R148&lt;=30,"0-30 Days",IF(R148&lt;=60,"31-60 Days",IF(R148&lt;=90,"61-90 Days",IF(R148&lt;=180,"91-180 Days","181+ Days")))))</f>
        <v/>
      </c>
      <c r="T148" s="16" t="inlineStr">
        <is>
          <t>Medium</t>
        </is>
      </c>
      <c r="U148" s="16" t="inlineStr">
        <is>
          <t>Pending</t>
        </is>
      </c>
      <c r="V148" s="16" t="inlineStr"/>
      <c r="W148" s="16" t="inlineStr"/>
      <c r="X148" s="16" t="inlineStr"/>
    </row>
    <row r="149">
      <c r="A149" s="16" t="inlineStr"/>
      <c r="B149" s="16" t="inlineStr"/>
      <c r="C149" s="17" t="inlineStr"/>
      <c r="D149" s="17" t="inlineStr"/>
      <c r="E149" s="16" t="inlineStr"/>
      <c r="F149" s="16" t="inlineStr"/>
      <c r="G149" s="16" t="inlineStr"/>
      <c r="H149" s="16" t="inlineStr"/>
      <c r="I149" s="16" t="inlineStr"/>
      <c r="J149" s="16" t="inlineStr">
        <is>
          <t>Open</t>
        </is>
      </c>
      <c r="K149" s="16" t="inlineStr">
        <is>
          <t>Medium</t>
        </is>
      </c>
      <c r="L149" s="16" t="inlineStr">
        <is>
          <t>Medium</t>
        </is>
      </c>
      <c r="M149" s="16" t="inlineStr">
        <is>
          <t>Possible</t>
        </is>
      </c>
      <c r="N149" s="21">
        <f>IF(OR(L149="",M149=""),"",IF(L149="Critical",4,IF(L149="High",3,IF(L149="Medium",2,1)))*IF(M149="Almost Certain",5,IF(M149="Likely",4,IF(M149="Possible",3,IF(M149="Unlikely",2,1)))))</f>
        <v/>
      </c>
      <c r="O149" s="20" t="inlineStr"/>
      <c r="P149" s="20" t="inlineStr"/>
      <c r="Q149" s="20" t="inlineStr"/>
      <c r="R149" s="21">
        <f>IF(O149="","",IF(Q149&lt;&gt;"",Q149-O149,TODAY()-O149))</f>
        <v/>
      </c>
      <c r="S149" s="17">
        <f>IF(R149="","",IF(R149&lt;=30,"0-30 Days",IF(R149&lt;=60,"31-60 Days",IF(R149&lt;=90,"61-90 Days",IF(R149&lt;=180,"91-180 Days","181+ Days")))))</f>
        <v/>
      </c>
      <c r="T149" s="16" t="inlineStr">
        <is>
          <t>Medium</t>
        </is>
      </c>
      <c r="U149" s="16" t="inlineStr">
        <is>
          <t>Pending</t>
        </is>
      </c>
      <c r="V149" s="16" t="inlineStr"/>
      <c r="W149" s="16" t="inlineStr"/>
      <c r="X149" s="16" t="inlineStr"/>
    </row>
    <row r="150">
      <c r="A150" s="16" t="inlineStr"/>
      <c r="B150" s="16" t="inlineStr"/>
      <c r="C150" s="17" t="inlineStr"/>
      <c r="D150" s="17" t="inlineStr"/>
      <c r="E150" s="16" t="inlineStr"/>
      <c r="F150" s="16" t="inlineStr"/>
      <c r="G150" s="16" t="inlineStr"/>
      <c r="H150" s="16" t="inlineStr"/>
      <c r="I150" s="16" t="inlineStr"/>
      <c r="J150" s="16" t="inlineStr">
        <is>
          <t>Open</t>
        </is>
      </c>
      <c r="K150" s="16" t="inlineStr">
        <is>
          <t>Medium</t>
        </is>
      </c>
      <c r="L150" s="16" t="inlineStr">
        <is>
          <t>Medium</t>
        </is>
      </c>
      <c r="M150" s="16" t="inlineStr">
        <is>
          <t>Possible</t>
        </is>
      </c>
      <c r="N150" s="21">
        <f>IF(OR(L150="",M150=""),"",IF(L150="Critical",4,IF(L150="High",3,IF(L150="Medium",2,1)))*IF(M150="Almost Certain",5,IF(M150="Likely",4,IF(M150="Possible",3,IF(M150="Unlikely",2,1)))))</f>
        <v/>
      </c>
      <c r="O150" s="20" t="inlineStr"/>
      <c r="P150" s="20" t="inlineStr"/>
      <c r="Q150" s="20" t="inlineStr"/>
      <c r="R150" s="21">
        <f>IF(O150="","",IF(Q150&lt;&gt;"",Q150-O150,TODAY()-O150))</f>
        <v/>
      </c>
      <c r="S150" s="17">
        <f>IF(R150="","",IF(R150&lt;=30,"0-30 Days",IF(R150&lt;=60,"31-60 Days",IF(R150&lt;=90,"61-90 Days",IF(R150&lt;=180,"91-180 Days","181+ Days")))))</f>
        <v/>
      </c>
      <c r="T150" s="16" t="inlineStr">
        <is>
          <t>Medium</t>
        </is>
      </c>
      <c r="U150" s="16" t="inlineStr">
        <is>
          <t>Pending</t>
        </is>
      </c>
      <c r="V150" s="16" t="inlineStr"/>
      <c r="W150" s="16" t="inlineStr"/>
      <c r="X150" s="16" t="inlineStr"/>
    </row>
    <row r="151">
      <c r="A151" s="16" t="inlineStr"/>
      <c r="B151" s="16" t="inlineStr"/>
      <c r="C151" s="17" t="inlineStr"/>
      <c r="D151" s="17" t="inlineStr"/>
      <c r="E151" s="16" t="inlineStr"/>
      <c r="F151" s="16" t="inlineStr"/>
      <c r="G151" s="16" t="inlineStr"/>
      <c r="H151" s="16" t="inlineStr"/>
      <c r="I151" s="16" t="inlineStr"/>
      <c r="J151" s="16" t="inlineStr">
        <is>
          <t>Open</t>
        </is>
      </c>
      <c r="K151" s="16" t="inlineStr">
        <is>
          <t>Medium</t>
        </is>
      </c>
      <c r="L151" s="16" t="inlineStr">
        <is>
          <t>Medium</t>
        </is>
      </c>
      <c r="M151" s="16" t="inlineStr">
        <is>
          <t>Possible</t>
        </is>
      </c>
      <c r="N151" s="21">
        <f>IF(OR(L151="",M151=""),"",IF(L151="Critical",4,IF(L151="High",3,IF(L151="Medium",2,1)))*IF(M151="Almost Certain",5,IF(M151="Likely",4,IF(M151="Possible",3,IF(M151="Unlikely",2,1)))))</f>
        <v/>
      </c>
      <c r="O151" s="20" t="inlineStr"/>
      <c r="P151" s="20" t="inlineStr"/>
      <c r="Q151" s="20" t="inlineStr"/>
      <c r="R151" s="21">
        <f>IF(O151="","",IF(Q151&lt;&gt;"",Q151-O151,TODAY()-O151))</f>
        <v/>
      </c>
      <c r="S151" s="17">
        <f>IF(R151="","",IF(R151&lt;=30,"0-30 Days",IF(R151&lt;=60,"31-60 Days",IF(R151&lt;=90,"61-90 Days",IF(R151&lt;=180,"91-180 Days","181+ Days")))))</f>
        <v/>
      </c>
      <c r="T151" s="16" t="inlineStr">
        <is>
          <t>Medium</t>
        </is>
      </c>
      <c r="U151" s="16" t="inlineStr">
        <is>
          <t>Pending</t>
        </is>
      </c>
      <c r="V151" s="16" t="inlineStr"/>
      <c r="W151" s="16" t="inlineStr"/>
      <c r="X151" s="16" t="inlineStr"/>
    </row>
    <row r="152">
      <c r="A152" s="16" t="inlineStr"/>
      <c r="B152" s="16" t="inlineStr"/>
      <c r="C152" s="17" t="inlineStr"/>
      <c r="D152" s="17" t="inlineStr"/>
      <c r="E152" s="16" t="inlineStr"/>
      <c r="F152" s="16" t="inlineStr"/>
      <c r="G152" s="16" t="inlineStr"/>
      <c r="H152" s="16" t="inlineStr"/>
      <c r="I152" s="16" t="inlineStr"/>
      <c r="J152" s="16" t="inlineStr">
        <is>
          <t>Open</t>
        </is>
      </c>
      <c r="K152" s="16" t="inlineStr">
        <is>
          <t>Medium</t>
        </is>
      </c>
      <c r="L152" s="16" t="inlineStr">
        <is>
          <t>Medium</t>
        </is>
      </c>
      <c r="M152" s="16" t="inlineStr">
        <is>
          <t>Possible</t>
        </is>
      </c>
      <c r="N152" s="21">
        <f>IF(OR(L152="",M152=""),"",IF(L152="Critical",4,IF(L152="High",3,IF(L152="Medium",2,1)))*IF(M152="Almost Certain",5,IF(M152="Likely",4,IF(M152="Possible",3,IF(M152="Unlikely",2,1)))))</f>
        <v/>
      </c>
      <c r="O152" s="20" t="inlineStr"/>
      <c r="P152" s="20" t="inlineStr"/>
      <c r="Q152" s="20" t="inlineStr"/>
      <c r="R152" s="21">
        <f>IF(O152="","",IF(Q152&lt;&gt;"",Q152-O152,TODAY()-O152))</f>
        <v/>
      </c>
      <c r="S152" s="17">
        <f>IF(R152="","",IF(R152&lt;=30,"0-30 Days",IF(R152&lt;=60,"31-60 Days",IF(R152&lt;=90,"61-90 Days",IF(R152&lt;=180,"91-180 Days","181+ Days")))))</f>
        <v/>
      </c>
      <c r="T152" s="16" t="inlineStr">
        <is>
          <t>Medium</t>
        </is>
      </c>
      <c r="U152" s="16" t="inlineStr">
        <is>
          <t>Pending</t>
        </is>
      </c>
      <c r="V152" s="16" t="inlineStr"/>
      <c r="W152" s="16" t="inlineStr"/>
      <c r="X152" s="16" t="inlineStr"/>
    </row>
    <row r="153">
      <c r="A153" s="16" t="inlineStr"/>
      <c r="B153" s="16" t="inlineStr"/>
      <c r="C153" s="17" t="inlineStr"/>
      <c r="D153" s="17" t="inlineStr"/>
      <c r="E153" s="16" t="inlineStr"/>
      <c r="F153" s="16" t="inlineStr"/>
      <c r="G153" s="16" t="inlineStr"/>
      <c r="H153" s="16" t="inlineStr"/>
      <c r="I153" s="16" t="inlineStr"/>
      <c r="J153" s="16" t="inlineStr">
        <is>
          <t>Open</t>
        </is>
      </c>
      <c r="K153" s="16" t="inlineStr">
        <is>
          <t>Medium</t>
        </is>
      </c>
      <c r="L153" s="16" t="inlineStr">
        <is>
          <t>Medium</t>
        </is>
      </c>
      <c r="M153" s="16" t="inlineStr">
        <is>
          <t>Possible</t>
        </is>
      </c>
      <c r="N153" s="21">
        <f>IF(OR(L153="",M153=""),"",IF(L153="Critical",4,IF(L153="High",3,IF(L153="Medium",2,1)))*IF(M153="Almost Certain",5,IF(M153="Likely",4,IF(M153="Possible",3,IF(M153="Unlikely",2,1)))))</f>
        <v/>
      </c>
      <c r="O153" s="20" t="inlineStr"/>
      <c r="P153" s="20" t="inlineStr"/>
      <c r="Q153" s="20" t="inlineStr"/>
      <c r="R153" s="21">
        <f>IF(O153="","",IF(Q153&lt;&gt;"",Q153-O153,TODAY()-O153))</f>
        <v/>
      </c>
      <c r="S153" s="17">
        <f>IF(R153="","",IF(R153&lt;=30,"0-30 Days",IF(R153&lt;=60,"31-60 Days",IF(R153&lt;=90,"61-90 Days",IF(R153&lt;=180,"91-180 Days","181+ Days")))))</f>
        <v/>
      </c>
      <c r="T153" s="16" t="inlineStr">
        <is>
          <t>Medium</t>
        </is>
      </c>
      <c r="U153" s="16" t="inlineStr">
        <is>
          <t>Pending</t>
        </is>
      </c>
      <c r="V153" s="16" t="inlineStr"/>
      <c r="W153" s="16" t="inlineStr"/>
      <c r="X153" s="16" t="inlineStr"/>
    </row>
    <row r="154">
      <c r="A154" s="16" t="inlineStr"/>
      <c r="B154" s="16" t="inlineStr"/>
      <c r="C154" s="17" t="inlineStr"/>
      <c r="D154" s="17" t="inlineStr"/>
      <c r="E154" s="16" t="inlineStr"/>
      <c r="F154" s="16" t="inlineStr"/>
      <c r="G154" s="16" t="inlineStr"/>
      <c r="H154" s="16" t="inlineStr"/>
      <c r="I154" s="16" t="inlineStr"/>
      <c r="J154" s="16" t="inlineStr">
        <is>
          <t>Open</t>
        </is>
      </c>
      <c r="K154" s="16" t="inlineStr">
        <is>
          <t>Medium</t>
        </is>
      </c>
      <c r="L154" s="16" t="inlineStr">
        <is>
          <t>Medium</t>
        </is>
      </c>
      <c r="M154" s="16" t="inlineStr">
        <is>
          <t>Possible</t>
        </is>
      </c>
      <c r="N154" s="21">
        <f>IF(OR(L154="",M154=""),"",IF(L154="Critical",4,IF(L154="High",3,IF(L154="Medium",2,1)))*IF(M154="Almost Certain",5,IF(M154="Likely",4,IF(M154="Possible",3,IF(M154="Unlikely",2,1)))))</f>
        <v/>
      </c>
      <c r="O154" s="20" t="inlineStr"/>
      <c r="P154" s="20" t="inlineStr"/>
      <c r="Q154" s="20" t="inlineStr"/>
      <c r="R154" s="21">
        <f>IF(O154="","",IF(Q154&lt;&gt;"",Q154-O154,TODAY()-O154))</f>
        <v/>
      </c>
      <c r="S154" s="17">
        <f>IF(R154="","",IF(R154&lt;=30,"0-30 Days",IF(R154&lt;=60,"31-60 Days",IF(R154&lt;=90,"61-90 Days",IF(R154&lt;=180,"91-180 Days","181+ Days")))))</f>
        <v/>
      </c>
      <c r="T154" s="16" t="inlineStr">
        <is>
          <t>Medium</t>
        </is>
      </c>
      <c r="U154" s="16" t="inlineStr">
        <is>
          <t>Pending</t>
        </is>
      </c>
      <c r="V154" s="16" t="inlineStr"/>
      <c r="W154" s="16" t="inlineStr"/>
      <c r="X154" s="16" t="inlineStr"/>
    </row>
    <row r="155">
      <c r="A155" s="16" t="inlineStr"/>
      <c r="B155" s="16" t="inlineStr"/>
      <c r="C155" s="17" t="inlineStr"/>
      <c r="D155" s="17" t="inlineStr"/>
      <c r="E155" s="16" t="inlineStr"/>
      <c r="F155" s="16" t="inlineStr"/>
      <c r="G155" s="16" t="inlineStr"/>
      <c r="H155" s="16" t="inlineStr"/>
      <c r="I155" s="16" t="inlineStr"/>
      <c r="J155" s="16" t="inlineStr">
        <is>
          <t>Open</t>
        </is>
      </c>
      <c r="K155" s="16" t="inlineStr">
        <is>
          <t>Medium</t>
        </is>
      </c>
      <c r="L155" s="16" t="inlineStr">
        <is>
          <t>Medium</t>
        </is>
      </c>
      <c r="M155" s="16" t="inlineStr">
        <is>
          <t>Possible</t>
        </is>
      </c>
      <c r="N155" s="21">
        <f>IF(OR(L155="",M155=""),"",IF(L155="Critical",4,IF(L155="High",3,IF(L155="Medium",2,1)))*IF(M155="Almost Certain",5,IF(M155="Likely",4,IF(M155="Possible",3,IF(M155="Unlikely",2,1)))))</f>
        <v/>
      </c>
      <c r="O155" s="20" t="inlineStr"/>
      <c r="P155" s="20" t="inlineStr"/>
      <c r="Q155" s="20" t="inlineStr"/>
      <c r="R155" s="21">
        <f>IF(O155="","",IF(Q155&lt;&gt;"",Q155-O155,TODAY()-O155))</f>
        <v/>
      </c>
      <c r="S155" s="17">
        <f>IF(R155="","",IF(R155&lt;=30,"0-30 Days",IF(R155&lt;=60,"31-60 Days",IF(R155&lt;=90,"61-90 Days",IF(R155&lt;=180,"91-180 Days","181+ Days")))))</f>
        <v/>
      </c>
      <c r="T155" s="16" t="inlineStr">
        <is>
          <t>Medium</t>
        </is>
      </c>
      <c r="U155" s="16" t="inlineStr">
        <is>
          <t>Pending</t>
        </is>
      </c>
      <c r="V155" s="16" t="inlineStr"/>
      <c r="W155" s="16" t="inlineStr"/>
      <c r="X155" s="16" t="inlineStr"/>
    </row>
    <row r="156">
      <c r="A156" s="16" t="inlineStr"/>
      <c r="B156" s="16" t="inlineStr"/>
      <c r="C156" s="17" t="inlineStr"/>
      <c r="D156" s="17" t="inlineStr"/>
      <c r="E156" s="16" t="inlineStr"/>
      <c r="F156" s="16" t="inlineStr"/>
      <c r="G156" s="16" t="inlineStr"/>
      <c r="H156" s="16" t="inlineStr"/>
      <c r="I156" s="16" t="inlineStr"/>
      <c r="J156" s="16" t="inlineStr">
        <is>
          <t>Open</t>
        </is>
      </c>
      <c r="K156" s="16" t="inlineStr">
        <is>
          <t>Medium</t>
        </is>
      </c>
      <c r="L156" s="16" t="inlineStr">
        <is>
          <t>Medium</t>
        </is>
      </c>
      <c r="M156" s="16" t="inlineStr">
        <is>
          <t>Possible</t>
        </is>
      </c>
      <c r="N156" s="21">
        <f>IF(OR(L156="",M156=""),"",IF(L156="Critical",4,IF(L156="High",3,IF(L156="Medium",2,1)))*IF(M156="Almost Certain",5,IF(M156="Likely",4,IF(M156="Possible",3,IF(M156="Unlikely",2,1)))))</f>
        <v/>
      </c>
      <c r="O156" s="20" t="inlineStr"/>
      <c r="P156" s="20" t="inlineStr"/>
      <c r="Q156" s="20" t="inlineStr"/>
      <c r="R156" s="21">
        <f>IF(O156="","",IF(Q156&lt;&gt;"",Q156-O156,TODAY()-O156))</f>
        <v/>
      </c>
      <c r="S156" s="17">
        <f>IF(R156="","",IF(R156&lt;=30,"0-30 Days",IF(R156&lt;=60,"31-60 Days",IF(R156&lt;=90,"61-90 Days",IF(R156&lt;=180,"91-180 Days","181+ Days")))))</f>
        <v/>
      </c>
      <c r="T156" s="16" t="inlineStr">
        <is>
          <t>Medium</t>
        </is>
      </c>
      <c r="U156" s="16" t="inlineStr">
        <is>
          <t>Pending</t>
        </is>
      </c>
      <c r="V156" s="16" t="inlineStr"/>
      <c r="W156" s="16" t="inlineStr"/>
      <c r="X156" s="16" t="inlineStr"/>
    </row>
    <row r="157">
      <c r="A157" s="16" t="inlineStr"/>
      <c r="B157" s="16" t="inlineStr"/>
      <c r="C157" s="17" t="inlineStr"/>
      <c r="D157" s="17" t="inlineStr"/>
      <c r="E157" s="16" t="inlineStr"/>
      <c r="F157" s="16" t="inlineStr"/>
      <c r="G157" s="16" t="inlineStr"/>
      <c r="H157" s="16" t="inlineStr"/>
      <c r="I157" s="16" t="inlineStr"/>
      <c r="J157" s="16" t="inlineStr">
        <is>
          <t>Open</t>
        </is>
      </c>
      <c r="K157" s="16" t="inlineStr">
        <is>
          <t>Medium</t>
        </is>
      </c>
      <c r="L157" s="16" t="inlineStr">
        <is>
          <t>Medium</t>
        </is>
      </c>
      <c r="M157" s="16" t="inlineStr">
        <is>
          <t>Possible</t>
        </is>
      </c>
      <c r="N157" s="21">
        <f>IF(OR(L157="",M157=""),"",IF(L157="Critical",4,IF(L157="High",3,IF(L157="Medium",2,1)))*IF(M157="Almost Certain",5,IF(M157="Likely",4,IF(M157="Possible",3,IF(M157="Unlikely",2,1)))))</f>
        <v/>
      </c>
      <c r="O157" s="20" t="inlineStr"/>
      <c r="P157" s="20" t="inlineStr"/>
      <c r="Q157" s="20" t="inlineStr"/>
      <c r="R157" s="21">
        <f>IF(O157="","",IF(Q157&lt;&gt;"",Q157-O157,TODAY()-O157))</f>
        <v/>
      </c>
      <c r="S157" s="17">
        <f>IF(R157="","",IF(R157&lt;=30,"0-30 Days",IF(R157&lt;=60,"31-60 Days",IF(R157&lt;=90,"61-90 Days",IF(R157&lt;=180,"91-180 Days","181+ Days")))))</f>
        <v/>
      </c>
      <c r="T157" s="16" t="inlineStr">
        <is>
          <t>Medium</t>
        </is>
      </c>
      <c r="U157" s="16" t="inlineStr">
        <is>
          <t>Pending</t>
        </is>
      </c>
      <c r="V157" s="16" t="inlineStr"/>
      <c r="W157" s="16" t="inlineStr"/>
      <c r="X157" s="16" t="inlineStr"/>
    </row>
    <row r="158">
      <c r="A158" s="16" t="inlineStr"/>
      <c r="B158" s="16" t="inlineStr"/>
      <c r="C158" s="17" t="inlineStr"/>
      <c r="D158" s="17" t="inlineStr"/>
      <c r="E158" s="16" t="inlineStr"/>
      <c r="F158" s="16" t="inlineStr"/>
      <c r="G158" s="16" t="inlineStr"/>
      <c r="H158" s="16" t="inlineStr"/>
      <c r="I158" s="16" t="inlineStr"/>
      <c r="J158" s="16" t="inlineStr">
        <is>
          <t>Open</t>
        </is>
      </c>
      <c r="K158" s="16" t="inlineStr">
        <is>
          <t>Medium</t>
        </is>
      </c>
      <c r="L158" s="16" t="inlineStr">
        <is>
          <t>Medium</t>
        </is>
      </c>
      <c r="M158" s="16" t="inlineStr">
        <is>
          <t>Possible</t>
        </is>
      </c>
      <c r="N158" s="21">
        <f>IF(OR(L158="",M158=""),"",IF(L158="Critical",4,IF(L158="High",3,IF(L158="Medium",2,1)))*IF(M158="Almost Certain",5,IF(M158="Likely",4,IF(M158="Possible",3,IF(M158="Unlikely",2,1)))))</f>
        <v/>
      </c>
      <c r="O158" s="20" t="inlineStr"/>
      <c r="P158" s="20" t="inlineStr"/>
      <c r="Q158" s="20" t="inlineStr"/>
      <c r="R158" s="21">
        <f>IF(O158="","",IF(Q158&lt;&gt;"",Q158-O158,TODAY()-O158))</f>
        <v/>
      </c>
      <c r="S158" s="17">
        <f>IF(R158="","",IF(R158&lt;=30,"0-30 Days",IF(R158&lt;=60,"31-60 Days",IF(R158&lt;=90,"61-90 Days",IF(R158&lt;=180,"91-180 Days","181+ Days")))))</f>
        <v/>
      </c>
      <c r="T158" s="16" t="inlineStr">
        <is>
          <t>Medium</t>
        </is>
      </c>
      <c r="U158" s="16" t="inlineStr">
        <is>
          <t>Pending</t>
        </is>
      </c>
      <c r="V158" s="16" t="inlineStr"/>
      <c r="W158" s="16" t="inlineStr"/>
      <c r="X158" s="16" t="inlineStr"/>
    </row>
    <row r="159">
      <c r="A159" s="16" t="inlineStr"/>
      <c r="B159" s="16" t="inlineStr"/>
      <c r="C159" s="17" t="inlineStr"/>
      <c r="D159" s="17" t="inlineStr"/>
      <c r="E159" s="16" t="inlineStr"/>
      <c r="F159" s="16" t="inlineStr"/>
      <c r="G159" s="16" t="inlineStr"/>
      <c r="H159" s="16" t="inlineStr"/>
      <c r="I159" s="16" t="inlineStr"/>
      <c r="J159" s="16" t="inlineStr">
        <is>
          <t>Open</t>
        </is>
      </c>
      <c r="K159" s="16" t="inlineStr">
        <is>
          <t>Medium</t>
        </is>
      </c>
      <c r="L159" s="16" t="inlineStr">
        <is>
          <t>Medium</t>
        </is>
      </c>
      <c r="M159" s="16" t="inlineStr">
        <is>
          <t>Possible</t>
        </is>
      </c>
      <c r="N159" s="21">
        <f>IF(OR(L159="",M159=""),"",IF(L159="Critical",4,IF(L159="High",3,IF(L159="Medium",2,1)))*IF(M159="Almost Certain",5,IF(M159="Likely",4,IF(M159="Possible",3,IF(M159="Unlikely",2,1)))))</f>
        <v/>
      </c>
      <c r="O159" s="20" t="inlineStr"/>
      <c r="P159" s="20" t="inlineStr"/>
      <c r="Q159" s="20" t="inlineStr"/>
      <c r="R159" s="21">
        <f>IF(O159="","",IF(Q159&lt;&gt;"",Q159-O159,TODAY()-O159))</f>
        <v/>
      </c>
      <c r="S159" s="17">
        <f>IF(R159="","",IF(R159&lt;=30,"0-30 Days",IF(R159&lt;=60,"31-60 Days",IF(R159&lt;=90,"61-90 Days",IF(R159&lt;=180,"91-180 Days","181+ Days")))))</f>
        <v/>
      </c>
      <c r="T159" s="16" t="inlineStr">
        <is>
          <t>Medium</t>
        </is>
      </c>
      <c r="U159" s="16" t="inlineStr">
        <is>
          <t>Pending</t>
        </is>
      </c>
      <c r="V159" s="16" t="inlineStr"/>
      <c r="W159" s="16" t="inlineStr"/>
      <c r="X159" s="16" t="inlineStr"/>
    </row>
    <row r="160">
      <c r="A160" s="16" t="inlineStr"/>
      <c r="B160" s="16" t="inlineStr"/>
      <c r="C160" s="17" t="inlineStr"/>
      <c r="D160" s="17" t="inlineStr"/>
      <c r="E160" s="16" t="inlineStr"/>
      <c r="F160" s="16" t="inlineStr"/>
      <c r="G160" s="16" t="inlineStr"/>
      <c r="H160" s="16" t="inlineStr"/>
      <c r="I160" s="16" t="inlineStr"/>
      <c r="J160" s="16" t="inlineStr">
        <is>
          <t>Open</t>
        </is>
      </c>
      <c r="K160" s="16" t="inlineStr">
        <is>
          <t>Medium</t>
        </is>
      </c>
      <c r="L160" s="16" t="inlineStr">
        <is>
          <t>Medium</t>
        </is>
      </c>
      <c r="M160" s="16" t="inlineStr">
        <is>
          <t>Possible</t>
        </is>
      </c>
      <c r="N160" s="21">
        <f>IF(OR(L160="",M160=""),"",IF(L160="Critical",4,IF(L160="High",3,IF(L160="Medium",2,1)))*IF(M160="Almost Certain",5,IF(M160="Likely",4,IF(M160="Possible",3,IF(M160="Unlikely",2,1)))))</f>
        <v/>
      </c>
      <c r="O160" s="20" t="inlineStr"/>
      <c r="P160" s="20" t="inlineStr"/>
      <c r="Q160" s="20" t="inlineStr"/>
      <c r="R160" s="21">
        <f>IF(O160="","",IF(Q160&lt;&gt;"",Q160-O160,TODAY()-O160))</f>
        <v/>
      </c>
      <c r="S160" s="17">
        <f>IF(R160="","",IF(R160&lt;=30,"0-30 Days",IF(R160&lt;=60,"31-60 Days",IF(R160&lt;=90,"61-90 Days",IF(R160&lt;=180,"91-180 Days","181+ Days")))))</f>
        <v/>
      </c>
      <c r="T160" s="16" t="inlineStr">
        <is>
          <t>Medium</t>
        </is>
      </c>
      <c r="U160" s="16" t="inlineStr">
        <is>
          <t>Pending</t>
        </is>
      </c>
      <c r="V160" s="16" t="inlineStr"/>
      <c r="W160" s="16" t="inlineStr"/>
      <c r="X160" s="16" t="inlineStr"/>
    </row>
    <row r="161">
      <c r="A161" s="16" t="inlineStr"/>
      <c r="B161" s="16" t="inlineStr"/>
      <c r="C161" s="17" t="inlineStr"/>
      <c r="D161" s="17" t="inlineStr"/>
      <c r="E161" s="16" t="inlineStr"/>
      <c r="F161" s="16" t="inlineStr"/>
      <c r="G161" s="16" t="inlineStr"/>
      <c r="H161" s="16" t="inlineStr"/>
      <c r="I161" s="16" t="inlineStr"/>
      <c r="J161" s="16" t="inlineStr">
        <is>
          <t>Open</t>
        </is>
      </c>
      <c r="K161" s="16" t="inlineStr">
        <is>
          <t>Medium</t>
        </is>
      </c>
      <c r="L161" s="16" t="inlineStr">
        <is>
          <t>Medium</t>
        </is>
      </c>
      <c r="M161" s="16" t="inlineStr">
        <is>
          <t>Possible</t>
        </is>
      </c>
      <c r="N161" s="21">
        <f>IF(OR(L161="",M161=""),"",IF(L161="Critical",4,IF(L161="High",3,IF(L161="Medium",2,1)))*IF(M161="Almost Certain",5,IF(M161="Likely",4,IF(M161="Possible",3,IF(M161="Unlikely",2,1)))))</f>
        <v/>
      </c>
      <c r="O161" s="20" t="inlineStr"/>
      <c r="P161" s="20" t="inlineStr"/>
      <c r="Q161" s="20" t="inlineStr"/>
      <c r="R161" s="21">
        <f>IF(O161="","",IF(Q161&lt;&gt;"",Q161-O161,TODAY()-O161))</f>
        <v/>
      </c>
      <c r="S161" s="17">
        <f>IF(R161="","",IF(R161&lt;=30,"0-30 Days",IF(R161&lt;=60,"31-60 Days",IF(R161&lt;=90,"61-90 Days",IF(R161&lt;=180,"91-180 Days","181+ Days")))))</f>
        <v/>
      </c>
      <c r="T161" s="16" t="inlineStr">
        <is>
          <t>Medium</t>
        </is>
      </c>
      <c r="U161" s="16" t="inlineStr">
        <is>
          <t>Pending</t>
        </is>
      </c>
      <c r="V161" s="16" t="inlineStr"/>
      <c r="W161" s="16" t="inlineStr"/>
      <c r="X161" s="16" t="inlineStr"/>
    </row>
    <row r="162">
      <c r="A162" s="16" t="inlineStr"/>
      <c r="B162" s="16" t="inlineStr"/>
      <c r="C162" s="17" t="inlineStr"/>
      <c r="D162" s="17" t="inlineStr"/>
      <c r="E162" s="16" t="inlineStr"/>
      <c r="F162" s="16" t="inlineStr"/>
      <c r="G162" s="16" t="inlineStr"/>
      <c r="H162" s="16" t="inlineStr"/>
      <c r="I162" s="16" t="inlineStr"/>
      <c r="J162" s="16" t="inlineStr">
        <is>
          <t>Open</t>
        </is>
      </c>
      <c r="K162" s="16" t="inlineStr">
        <is>
          <t>Medium</t>
        </is>
      </c>
      <c r="L162" s="16" t="inlineStr">
        <is>
          <t>Medium</t>
        </is>
      </c>
      <c r="M162" s="16" t="inlineStr">
        <is>
          <t>Possible</t>
        </is>
      </c>
      <c r="N162" s="21">
        <f>IF(OR(L162="",M162=""),"",IF(L162="Critical",4,IF(L162="High",3,IF(L162="Medium",2,1)))*IF(M162="Almost Certain",5,IF(M162="Likely",4,IF(M162="Possible",3,IF(M162="Unlikely",2,1)))))</f>
        <v/>
      </c>
      <c r="O162" s="20" t="inlineStr"/>
      <c r="P162" s="20" t="inlineStr"/>
      <c r="Q162" s="20" t="inlineStr"/>
      <c r="R162" s="21">
        <f>IF(O162="","",IF(Q162&lt;&gt;"",Q162-O162,TODAY()-O162))</f>
        <v/>
      </c>
      <c r="S162" s="17">
        <f>IF(R162="","",IF(R162&lt;=30,"0-30 Days",IF(R162&lt;=60,"31-60 Days",IF(R162&lt;=90,"61-90 Days",IF(R162&lt;=180,"91-180 Days","181+ Days")))))</f>
        <v/>
      </c>
      <c r="T162" s="16" t="inlineStr">
        <is>
          <t>Medium</t>
        </is>
      </c>
      <c r="U162" s="16" t="inlineStr">
        <is>
          <t>Pending</t>
        </is>
      </c>
      <c r="V162" s="16" t="inlineStr"/>
      <c r="W162" s="16" t="inlineStr"/>
      <c r="X162" s="16" t="inlineStr"/>
    </row>
    <row r="163">
      <c r="A163" s="16" t="inlineStr"/>
      <c r="B163" s="16" t="inlineStr"/>
      <c r="C163" s="17" t="inlineStr"/>
      <c r="D163" s="17" t="inlineStr"/>
      <c r="E163" s="16" t="inlineStr"/>
      <c r="F163" s="16" t="inlineStr"/>
      <c r="G163" s="16" t="inlineStr"/>
      <c r="H163" s="16" t="inlineStr"/>
      <c r="I163" s="16" t="inlineStr"/>
      <c r="J163" s="16" t="inlineStr">
        <is>
          <t>Open</t>
        </is>
      </c>
      <c r="K163" s="16" t="inlineStr">
        <is>
          <t>Medium</t>
        </is>
      </c>
      <c r="L163" s="16" t="inlineStr">
        <is>
          <t>Medium</t>
        </is>
      </c>
      <c r="M163" s="16" t="inlineStr">
        <is>
          <t>Possible</t>
        </is>
      </c>
      <c r="N163" s="21">
        <f>IF(OR(L163="",M163=""),"",IF(L163="Critical",4,IF(L163="High",3,IF(L163="Medium",2,1)))*IF(M163="Almost Certain",5,IF(M163="Likely",4,IF(M163="Possible",3,IF(M163="Unlikely",2,1)))))</f>
        <v/>
      </c>
      <c r="O163" s="20" t="inlineStr"/>
      <c r="P163" s="20" t="inlineStr"/>
      <c r="Q163" s="20" t="inlineStr"/>
      <c r="R163" s="21">
        <f>IF(O163="","",IF(Q163&lt;&gt;"",Q163-O163,TODAY()-O163))</f>
        <v/>
      </c>
      <c r="S163" s="17">
        <f>IF(R163="","",IF(R163&lt;=30,"0-30 Days",IF(R163&lt;=60,"31-60 Days",IF(R163&lt;=90,"61-90 Days",IF(R163&lt;=180,"91-180 Days","181+ Days")))))</f>
        <v/>
      </c>
      <c r="T163" s="16" t="inlineStr">
        <is>
          <t>Medium</t>
        </is>
      </c>
      <c r="U163" s="16" t="inlineStr">
        <is>
          <t>Pending</t>
        </is>
      </c>
      <c r="V163" s="16" t="inlineStr"/>
      <c r="W163" s="16" t="inlineStr"/>
      <c r="X163" s="16" t="inlineStr"/>
    </row>
    <row r="164">
      <c r="A164" s="16" t="inlineStr"/>
      <c r="B164" s="16" t="inlineStr"/>
      <c r="C164" s="17" t="inlineStr"/>
      <c r="D164" s="17" t="inlineStr"/>
      <c r="E164" s="16" t="inlineStr"/>
      <c r="F164" s="16" t="inlineStr"/>
      <c r="G164" s="16" t="inlineStr"/>
      <c r="H164" s="16" t="inlineStr"/>
      <c r="I164" s="16" t="inlineStr"/>
      <c r="J164" s="16" t="inlineStr">
        <is>
          <t>Open</t>
        </is>
      </c>
      <c r="K164" s="16" t="inlineStr">
        <is>
          <t>Medium</t>
        </is>
      </c>
      <c r="L164" s="16" t="inlineStr">
        <is>
          <t>Medium</t>
        </is>
      </c>
      <c r="M164" s="16" t="inlineStr">
        <is>
          <t>Possible</t>
        </is>
      </c>
      <c r="N164" s="21">
        <f>IF(OR(L164="",M164=""),"",IF(L164="Critical",4,IF(L164="High",3,IF(L164="Medium",2,1)))*IF(M164="Almost Certain",5,IF(M164="Likely",4,IF(M164="Possible",3,IF(M164="Unlikely",2,1)))))</f>
        <v/>
      </c>
      <c r="O164" s="20" t="inlineStr"/>
      <c r="P164" s="20" t="inlineStr"/>
      <c r="Q164" s="20" t="inlineStr"/>
      <c r="R164" s="21">
        <f>IF(O164="","",IF(Q164&lt;&gt;"",Q164-O164,TODAY()-O164))</f>
        <v/>
      </c>
      <c r="S164" s="17">
        <f>IF(R164="","",IF(R164&lt;=30,"0-30 Days",IF(R164&lt;=60,"31-60 Days",IF(R164&lt;=90,"61-90 Days",IF(R164&lt;=180,"91-180 Days","181+ Days")))))</f>
        <v/>
      </c>
      <c r="T164" s="16" t="inlineStr">
        <is>
          <t>Medium</t>
        </is>
      </c>
      <c r="U164" s="16" t="inlineStr">
        <is>
          <t>Pending</t>
        </is>
      </c>
      <c r="V164" s="16" t="inlineStr"/>
      <c r="W164" s="16" t="inlineStr"/>
      <c r="X164" s="16" t="inlineStr"/>
    </row>
    <row r="165">
      <c r="A165" s="16" t="inlineStr"/>
      <c r="B165" s="16" t="inlineStr"/>
      <c r="C165" s="17" t="inlineStr"/>
      <c r="D165" s="17" t="inlineStr"/>
      <c r="E165" s="16" t="inlineStr"/>
      <c r="F165" s="16" t="inlineStr"/>
      <c r="G165" s="16" t="inlineStr"/>
      <c r="H165" s="16" t="inlineStr"/>
      <c r="I165" s="16" t="inlineStr"/>
      <c r="J165" s="16" t="inlineStr">
        <is>
          <t>Open</t>
        </is>
      </c>
      <c r="K165" s="16" t="inlineStr">
        <is>
          <t>Medium</t>
        </is>
      </c>
      <c r="L165" s="16" t="inlineStr">
        <is>
          <t>Medium</t>
        </is>
      </c>
      <c r="M165" s="16" t="inlineStr">
        <is>
          <t>Possible</t>
        </is>
      </c>
      <c r="N165" s="21">
        <f>IF(OR(L165="",M165=""),"",IF(L165="Critical",4,IF(L165="High",3,IF(L165="Medium",2,1)))*IF(M165="Almost Certain",5,IF(M165="Likely",4,IF(M165="Possible",3,IF(M165="Unlikely",2,1)))))</f>
        <v/>
      </c>
      <c r="O165" s="20" t="inlineStr"/>
      <c r="P165" s="20" t="inlineStr"/>
      <c r="Q165" s="20" t="inlineStr"/>
      <c r="R165" s="21">
        <f>IF(O165="","",IF(Q165&lt;&gt;"",Q165-O165,TODAY()-O165))</f>
        <v/>
      </c>
      <c r="S165" s="17">
        <f>IF(R165="","",IF(R165&lt;=30,"0-30 Days",IF(R165&lt;=60,"31-60 Days",IF(R165&lt;=90,"61-90 Days",IF(R165&lt;=180,"91-180 Days","181+ Days")))))</f>
        <v/>
      </c>
      <c r="T165" s="16" t="inlineStr">
        <is>
          <t>Medium</t>
        </is>
      </c>
      <c r="U165" s="16" t="inlineStr">
        <is>
          <t>Pending</t>
        </is>
      </c>
      <c r="V165" s="16" t="inlineStr"/>
      <c r="W165" s="16" t="inlineStr"/>
      <c r="X165" s="16" t="inlineStr"/>
    </row>
    <row r="166">
      <c r="A166" s="16" t="inlineStr"/>
      <c r="B166" s="16" t="inlineStr"/>
      <c r="C166" s="17" t="inlineStr"/>
      <c r="D166" s="17" t="inlineStr"/>
      <c r="E166" s="16" t="inlineStr"/>
      <c r="F166" s="16" t="inlineStr"/>
      <c r="G166" s="16" t="inlineStr"/>
      <c r="H166" s="16" t="inlineStr"/>
      <c r="I166" s="16" t="inlineStr"/>
      <c r="J166" s="16" t="inlineStr">
        <is>
          <t>Open</t>
        </is>
      </c>
      <c r="K166" s="16" t="inlineStr">
        <is>
          <t>Medium</t>
        </is>
      </c>
      <c r="L166" s="16" t="inlineStr">
        <is>
          <t>Medium</t>
        </is>
      </c>
      <c r="M166" s="16" t="inlineStr">
        <is>
          <t>Possible</t>
        </is>
      </c>
      <c r="N166" s="21">
        <f>IF(OR(L166="",M166=""),"",IF(L166="Critical",4,IF(L166="High",3,IF(L166="Medium",2,1)))*IF(M166="Almost Certain",5,IF(M166="Likely",4,IF(M166="Possible",3,IF(M166="Unlikely",2,1)))))</f>
        <v/>
      </c>
      <c r="O166" s="20" t="inlineStr"/>
      <c r="P166" s="20" t="inlineStr"/>
      <c r="Q166" s="20" t="inlineStr"/>
      <c r="R166" s="21">
        <f>IF(O166="","",IF(Q166&lt;&gt;"",Q166-O166,TODAY()-O166))</f>
        <v/>
      </c>
      <c r="S166" s="17">
        <f>IF(R166="","",IF(R166&lt;=30,"0-30 Days",IF(R166&lt;=60,"31-60 Days",IF(R166&lt;=90,"61-90 Days",IF(R166&lt;=180,"91-180 Days","181+ Days")))))</f>
        <v/>
      </c>
      <c r="T166" s="16" t="inlineStr">
        <is>
          <t>Medium</t>
        </is>
      </c>
      <c r="U166" s="16" t="inlineStr">
        <is>
          <t>Pending</t>
        </is>
      </c>
      <c r="V166" s="16" t="inlineStr"/>
      <c r="W166" s="16" t="inlineStr"/>
      <c r="X166" s="16" t="inlineStr"/>
    </row>
    <row r="167">
      <c r="A167" s="16" t="inlineStr"/>
      <c r="B167" s="16" t="inlineStr"/>
      <c r="C167" s="17" t="inlineStr"/>
      <c r="D167" s="17" t="inlineStr"/>
      <c r="E167" s="16" t="inlineStr"/>
      <c r="F167" s="16" t="inlineStr"/>
      <c r="G167" s="16" t="inlineStr"/>
      <c r="H167" s="16" t="inlineStr"/>
      <c r="I167" s="16" t="inlineStr"/>
      <c r="J167" s="16" t="inlineStr">
        <is>
          <t>Open</t>
        </is>
      </c>
      <c r="K167" s="16" t="inlineStr">
        <is>
          <t>Medium</t>
        </is>
      </c>
      <c r="L167" s="16" t="inlineStr">
        <is>
          <t>Medium</t>
        </is>
      </c>
      <c r="M167" s="16" t="inlineStr">
        <is>
          <t>Possible</t>
        </is>
      </c>
      <c r="N167" s="21">
        <f>IF(OR(L167="",M167=""),"",IF(L167="Critical",4,IF(L167="High",3,IF(L167="Medium",2,1)))*IF(M167="Almost Certain",5,IF(M167="Likely",4,IF(M167="Possible",3,IF(M167="Unlikely",2,1)))))</f>
        <v/>
      </c>
      <c r="O167" s="20" t="inlineStr"/>
      <c r="P167" s="20" t="inlineStr"/>
      <c r="Q167" s="20" t="inlineStr"/>
      <c r="R167" s="21">
        <f>IF(O167="","",IF(Q167&lt;&gt;"",Q167-O167,TODAY()-O167))</f>
        <v/>
      </c>
      <c r="S167" s="17">
        <f>IF(R167="","",IF(R167&lt;=30,"0-30 Days",IF(R167&lt;=60,"31-60 Days",IF(R167&lt;=90,"61-90 Days",IF(R167&lt;=180,"91-180 Days","181+ Days")))))</f>
        <v/>
      </c>
      <c r="T167" s="16" t="inlineStr">
        <is>
          <t>Medium</t>
        </is>
      </c>
      <c r="U167" s="16" t="inlineStr">
        <is>
          <t>Pending</t>
        </is>
      </c>
      <c r="V167" s="16" t="inlineStr"/>
      <c r="W167" s="16" t="inlineStr"/>
      <c r="X167" s="16" t="inlineStr"/>
    </row>
    <row r="168">
      <c r="A168" s="16" t="inlineStr"/>
      <c r="B168" s="16" t="inlineStr"/>
      <c r="C168" s="17" t="inlineStr"/>
      <c r="D168" s="17" t="inlineStr"/>
      <c r="E168" s="16" t="inlineStr"/>
      <c r="F168" s="16" t="inlineStr"/>
      <c r="G168" s="16" t="inlineStr"/>
      <c r="H168" s="16" t="inlineStr"/>
      <c r="I168" s="16" t="inlineStr"/>
      <c r="J168" s="16" t="inlineStr">
        <is>
          <t>Open</t>
        </is>
      </c>
      <c r="K168" s="16" t="inlineStr">
        <is>
          <t>Medium</t>
        </is>
      </c>
      <c r="L168" s="16" t="inlineStr">
        <is>
          <t>Medium</t>
        </is>
      </c>
      <c r="M168" s="16" t="inlineStr">
        <is>
          <t>Possible</t>
        </is>
      </c>
      <c r="N168" s="21">
        <f>IF(OR(L168="",M168=""),"",IF(L168="Critical",4,IF(L168="High",3,IF(L168="Medium",2,1)))*IF(M168="Almost Certain",5,IF(M168="Likely",4,IF(M168="Possible",3,IF(M168="Unlikely",2,1)))))</f>
        <v/>
      </c>
      <c r="O168" s="20" t="inlineStr"/>
      <c r="P168" s="20" t="inlineStr"/>
      <c r="Q168" s="20" t="inlineStr"/>
      <c r="R168" s="21">
        <f>IF(O168="","",IF(Q168&lt;&gt;"",Q168-O168,TODAY()-O168))</f>
        <v/>
      </c>
      <c r="S168" s="17">
        <f>IF(R168="","",IF(R168&lt;=30,"0-30 Days",IF(R168&lt;=60,"31-60 Days",IF(R168&lt;=90,"61-90 Days",IF(R168&lt;=180,"91-180 Days","181+ Days")))))</f>
        <v/>
      </c>
      <c r="T168" s="16" t="inlineStr">
        <is>
          <t>Medium</t>
        </is>
      </c>
      <c r="U168" s="16" t="inlineStr">
        <is>
          <t>Pending</t>
        </is>
      </c>
      <c r="V168" s="16" t="inlineStr"/>
      <c r="W168" s="16" t="inlineStr"/>
      <c r="X168" s="16" t="inlineStr"/>
    </row>
    <row r="169">
      <c r="A169" s="16" t="inlineStr"/>
      <c r="B169" s="16" t="inlineStr"/>
      <c r="C169" s="17" t="inlineStr"/>
      <c r="D169" s="17" t="inlineStr"/>
      <c r="E169" s="16" t="inlineStr"/>
      <c r="F169" s="16" t="inlineStr"/>
      <c r="G169" s="16" t="inlineStr"/>
      <c r="H169" s="16" t="inlineStr"/>
      <c r="I169" s="16" t="inlineStr"/>
      <c r="J169" s="16" t="inlineStr">
        <is>
          <t>Open</t>
        </is>
      </c>
      <c r="K169" s="16" t="inlineStr">
        <is>
          <t>Medium</t>
        </is>
      </c>
      <c r="L169" s="16" t="inlineStr">
        <is>
          <t>Medium</t>
        </is>
      </c>
      <c r="M169" s="16" t="inlineStr">
        <is>
          <t>Possible</t>
        </is>
      </c>
      <c r="N169" s="21">
        <f>IF(OR(L169="",M169=""),"",IF(L169="Critical",4,IF(L169="High",3,IF(L169="Medium",2,1)))*IF(M169="Almost Certain",5,IF(M169="Likely",4,IF(M169="Possible",3,IF(M169="Unlikely",2,1)))))</f>
        <v/>
      </c>
      <c r="O169" s="20" t="inlineStr"/>
      <c r="P169" s="20" t="inlineStr"/>
      <c r="Q169" s="20" t="inlineStr"/>
      <c r="R169" s="21">
        <f>IF(O169="","",IF(Q169&lt;&gt;"",Q169-O169,TODAY()-O169))</f>
        <v/>
      </c>
      <c r="S169" s="17">
        <f>IF(R169="","",IF(R169&lt;=30,"0-30 Days",IF(R169&lt;=60,"31-60 Days",IF(R169&lt;=90,"61-90 Days",IF(R169&lt;=180,"91-180 Days","181+ Days")))))</f>
        <v/>
      </c>
      <c r="T169" s="16" t="inlineStr">
        <is>
          <t>Medium</t>
        </is>
      </c>
      <c r="U169" s="16" t="inlineStr">
        <is>
          <t>Pending</t>
        </is>
      </c>
      <c r="V169" s="16" t="inlineStr"/>
      <c r="W169" s="16" t="inlineStr"/>
      <c r="X169" s="16" t="inlineStr"/>
    </row>
    <row r="170">
      <c r="A170" s="16" t="inlineStr"/>
      <c r="B170" s="16" t="inlineStr"/>
      <c r="C170" s="17" t="inlineStr"/>
      <c r="D170" s="17" t="inlineStr"/>
      <c r="E170" s="16" t="inlineStr"/>
      <c r="F170" s="16" t="inlineStr"/>
      <c r="G170" s="16" t="inlineStr"/>
      <c r="H170" s="16" t="inlineStr"/>
      <c r="I170" s="16" t="inlineStr"/>
      <c r="J170" s="16" t="inlineStr">
        <is>
          <t>Open</t>
        </is>
      </c>
      <c r="K170" s="16" t="inlineStr">
        <is>
          <t>Medium</t>
        </is>
      </c>
      <c r="L170" s="16" t="inlineStr">
        <is>
          <t>Medium</t>
        </is>
      </c>
      <c r="M170" s="16" t="inlineStr">
        <is>
          <t>Possible</t>
        </is>
      </c>
      <c r="N170" s="21">
        <f>IF(OR(L170="",M170=""),"",IF(L170="Critical",4,IF(L170="High",3,IF(L170="Medium",2,1)))*IF(M170="Almost Certain",5,IF(M170="Likely",4,IF(M170="Possible",3,IF(M170="Unlikely",2,1)))))</f>
        <v/>
      </c>
      <c r="O170" s="20" t="inlineStr"/>
      <c r="P170" s="20" t="inlineStr"/>
      <c r="Q170" s="20" t="inlineStr"/>
      <c r="R170" s="21">
        <f>IF(O170="","",IF(Q170&lt;&gt;"",Q170-O170,TODAY()-O170))</f>
        <v/>
      </c>
      <c r="S170" s="17">
        <f>IF(R170="","",IF(R170&lt;=30,"0-30 Days",IF(R170&lt;=60,"31-60 Days",IF(R170&lt;=90,"61-90 Days",IF(R170&lt;=180,"91-180 Days","181+ Days")))))</f>
        <v/>
      </c>
      <c r="T170" s="16" t="inlineStr">
        <is>
          <t>Medium</t>
        </is>
      </c>
      <c r="U170" s="16" t="inlineStr">
        <is>
          <t>Pending</t>
        </is>
      </c>
      <c r="V170" s="16" t="inlineStr"/>
      <c r="W170" s="16" t="inlineStr"/>
      <c r="X170" s="16" t="inlineStr"/>
    </row>
    <row r="171">
      <c r="A171" s="16" t="inlineStr"/>
      <c r="B171" s="16" t="inlineStr"/>
      <c r="C171" s="17" t="inlineStr"/>
      <c r="D171" s="17" t="inlineStr"/>
      <c r="E171" s="16" t="inlineStr"/>
      <c r="F171" s="16" t="inlineStr"/>
      <c r="G171" s="16" t="inlineStr"/>
      <c r="H171" s="16" t="inlineStr"/>
      <c r="I171" s="16" t="inlineStr"/>
      <c r="J171" s="16" t="inlineStr">
        <is>
          <t>Open</t>
        </is>
      </c>
      <c r="K171" s="16" t="inlineStr">
        <is>
          <t>Medium</t>
        </is>
      </c>
      <c r="L171" s="16" t="inlineStr">
        <is>
          <t>Medium</t>
        </is>
      </c>
      <c r="M171" s="16" t="inlineStr">
        <is>
          <t>Possible</t>
        </is>
      </c>
      <c r="N171" s="21">
        <f>IF(OR(L171="",M171=""),"",IF(L171="Critical",4,IF(L171="High",3,IF(L171="Medium",2,1)))*IF(M171="Almost Certain",5,IF(M171="Likely",4,IF(M171="Possible",3,IF(M171="Unlikely",2,1)))))</f>
        <v/>
      </c>
      <c r="O171" s="20" t="inlineStr"/>
      <c r="P171" s="20" t="inlineStr"/>
      <c r="Q171" s="20" t="inlineStr"/>
      <c r="R171" s="21">
        <f>IF(O171="","",IF(Q171&lt;&gt;"",Q171-O171,TODAY()-O171))</f>
        <v/>
      </c>
      <c r="S171" s="17">
        <f>IF(R171="","",IF(R171&lt;=30,"0-30 Days",IF(R171&lt;=60,"31-60 Days",IF(R171&lt;=90,"61-90 Days",IF(R171&lt;=180,"91-180 Days","181+ Days")))))</f>
        <v/>
      </c>
      <c r="T171" s="16" t="inlineStr">
        <is>
          <t>Medium</t>
        </is>
      </c>
      <c r="U171" s="16" t="inlineStr">
        <is>
          <t>Pending</t>
        </is>
      </c>
      <c r="V171" s="16" t="inlineStr"/>
      <c r="W171" s="16" t="inlineStr"/>
      <c r="X171" s="16" t="inlineStr"/>
    </row>
    <row r="172">
      <c r="A172" s="16" t="inlineStr"/>
      <c r="B172" s="16" t="inlineStr"/>
      <c r="C172" s="17" t="inlineStr"/>
      <c r="D172" s="17" t="inlineStr"/>
      <c r="E172" s="16" t="inlineStr"/>
      <c r="F172" s="16" t="inlineStr"/>
      <c r="G172" s="16" t="inlineStr"/>
      <c r="H172" s="16" t="inlineStr"/>
      <c r="I172" s="16" t="inlineStr"/>
      <c r="J172" s="16" t="inlineStr">
        <is>
          <t>Open</t>
        </is>
      </c>
      <c r="K172" s="16" t="inlineStr">
        <is>
          <t>Medium</t>
        </is>
      </c>
      <c r="L172" s="16" t="inlineStr">
        <is>
          <t>Medium</t>
        </is>
      </c>
      <c r="M172" s="16" t="inlineStr">
        <is>
          <t>Possible</t>
        </is>
      </c>
      <c r="N172" s="21">
        <f>IF(OR(L172="",M172=""),"",IF(L172="Critical",4,IF(L172="High",3,IF(L172="Medium",2,1)))*IF(M172="Almost Certain",5,IF(M172="Likely",4,IF(M172="Possible",3,IF(M172="Unlikely",2,1)))))</f>
        <v/>
      </c>
      <c r="O172" s="20" t="inlineStr"/>
      <c r="P172" s="20" t="inlineStr"/>
      <c r="Q172" s="20" t="inlineStr"/>
      <c r="R172" s="21">
        <f>IF(O172="","",IF(Q172&lt;&gt;"",Q172-O172,TODAY()-O172))</f>
        <v/>
      </c>
      <c r="S172" s="17">
        <f>IF(R172="","",IF(R172&lt;=30,"0-30 Days",IF(R172&lt;=60,"31-60 Days",IF(R172&lt;=90,"61-90 Days",IF(R172&lt;=180,"91-180 Days","181+ Days")))))</f>
        <v/>
      </c>
      <c r="T172" s="16" t="inlineStr">
        <is>
          <t>Medium</t>
        </is>
      </c>
      <c r="U172" s="16" t="inlineStr">
        <is>
          <t>Pending</t>
        </is>
      </c>
      <c r="V172" s="16" t="inlineStr"/>
      <c r="W172" s="16" t="inlineStr"/>
      <c r="X172" s="16" t="inlineStr"/>
    </row>
    <row r="173">
      <c r="A173" s="16" t="inlineStr"/>
      <c r="B173" s="16" t="inlineStr"/>
      <c r="C173" s="17" t="inlineStr"/>
      <c r="D173" s="17" t="inlineStr"/>
      <c r="E173" s="16" t="inlineStr"/>
      <c r="F173" s="16" t="inlineStr"/>
      <c r="G173" s="16" t="inlineStr"/>
      <c r="H173" s="16" t="inlineStr"/>
      <c r="I173" s="16" t="inlineStr"/>
      <c r="J173" s="16" t="inlineStr">
        <is>
          <t>Open</t>
        </is>
      </c>
      <c r="K173" s="16" t="inlineStr">
        <is>
          <t>Medium</t>
        </is>
      </c>
      <c r="L173" s="16" t="inlineStr">
        <is>
          <t>Medium</t>
        </is>
      </c>
      <c r="M173" s="16" t="inlineStr">
        <is>
          <t>Possible</t>
        </is>
      </c>
      <c r="N173" s="21">
        <f>IF(OR(L173="",M173=""),"",IF(L173="Critical",4,IF(L173="High",3,IF(L173="Medium",2,1)))*IF(M173="Almost Certain",5,IF(M173="Likely",4,IF(M173="Possible",3,IF(M173="Unlikely",2,1)))))</f>
        <v/>
      </c>
      <c r="O173" s="20" t="inlineStr"/>
      <c r="P173" s="20" t="inlineStr"/>
      <c r="Q173" s="20" t="inlineStr"/>
      <c r="R173" s="21">
        <f>IF(O173="","",IF(Q173&lt;&gt;"",Q173-O173,TODAY()-O173))</f>
        <v/>
      </c>
      <c r="S173" s="17">
        <f>IF(R173="","",IF(R173&lt;=30,"0-30 Days",IF(R173&lt;=60,"31-60 Days",IF(R173&lt;=90,"61-90 Days",IF(R173&lt;=180,"91-180 Days","181+ Days")))))</f>
        <v/>
      </c>
      <c r="T173" s="16" t="inlineStr">
        <is>
          <t>Medium</t>
        </is>
      </c>
      <c r="U173" s="16" t="inlineStr">
        <is>
          <t>Pending</t>
        </is>
      </c>
      <c r="V173" s="16" t="inlineStr"/>
      <c r="W173" s="16" t="inlineStr"/>
      <c r="X173" s="16" t="inlineStr"/>
    </row>
    <row r="174">
      <c r="A174" s="16" t="inlineStr"/>
      <c r="B174" s="16" t="inlineStr"/>
      <c r="C174" s="17" t="inlineStr"/>
      <c r="D174" s="17" t="inlineStr"/>
      <c r="E174" s="16" t="inlineStr"/>
      <c r="F174" s="16" t="inlineStr"/>
      <c r="G174" s="16" t="inlineStr"/>
      <c r="H174" s="16" t="inlineStr"/>
      <c r="I174" s="16" t="inlineStr"/>
      <c r="J174" s="16" t="inlineStr">
        <is>
          <t>Open</t>
        </is>
      </c>
      <c r="K174" s="16" t="inlineStr">
        <is>
          <t>Medium</t>
        </is>
      </c>
      <c r="L174" s="16" t="inlineStr">
        <is>
          <t>Medium</t>
        </is>
      </c>
      <c r="M174" s="16" t="inlineStr">
        <is>
          <t>Possible</t>
        </is>
      </c>
      <c r="N174" s="21">
        <f>IF(OR(L174="",M174=""),"",IF(L174="Critical",4,IF(L174="High",3,IF(L174="Medium",2,1)))*IF(M174="Almost Certain",5,IF(M174="Likely",4,IF(M174="Possible",3,IF(M174="Unlikely",2,1)))))</f>
        <v/>
      </c>
      <c r="O174" s="20" t="inlineStr"/>
      <c r="P174" s="20" t="inlineStr"/>
      <c r="Q174" s="20" t="inlineStr"/>
      <c r="R174" s="21">
        <f>IF(O174="","",IF(Q174&lt;&gt;"",Q174-O174,TODAY()-O174))</f>
        <v/>
      </c>
      <c r="S174" s="17">
        <f>IF(R174="","",IF(R174&lt;=30,"0-30 Days",IF(R174&lt;=60,"31-60 Days",IF(R174&lt;=90,"61-90 Days",IF(R174&lt;=180,"91-180 Days","181+ Days")))))</f>
        <v/>
      </c>
      <c r="T174" s="16" t="inlineStr">
        <is>
          <t>Medium</t>
        </is>
      </c>
      <c r="U174" s="16" t="inlineStr">
        <is>
          <t>Pending</t>
        </is>
      </c>
      <c r="V174" s="16" t="inlineStr"/>
      <c r="W174" s="16" t="inlineStr"/>
      <c r="X174" s="16" t="inlineStr"/>
    </row>
    <row r="175">
      <c r="A175" s="16" t="inlineStr"/>
      <c r="B175" s="16" t="inlineStr"/>
      <c r="C175" s="17" t="inlineStr"/>
      <c r="D175" s="17" t="inlineStr"/>
      <c r="E175" s="16" t="inlineStr"/>
      <c r="F175" s="16" t="inlineStr"/>
      <c r="G175" s="16" t="inlineStr"/>
      <c r="H175" s="16" t="inlineStr"/>
      <c r="I175" s="16" t="inlineStr"/>
      <c r="J175" s="16" t="inlineStr">
        <is>
          <t>Open</t>
        </is>
      </c>
      <c r="K175" s="16" t="inlineStr">
        <is>
          <t>Medium</t>
        </is>
      </c>
      <c r="L175" s="16" t="inlineStr">
        <is>
          <t>Medium</t>
        </is>
      </c>
      <c r="M175" s="16" t="inlineStr">
        <is>
          <t>Possible</t>
        </is>
      </c>
      <c r="N175" s="21">
        <f>IF(OR(L175="",M175=""),"",IF(L175="Critical",4,IF(L175="High",3,IF(L175="Medium",2,1)))*IF(M175="Almost Certain",5,IF(M175="Likely",4,IF(M175="Possible",3,IF(M175="Unlikely",2,1)))))</f>
        <v/>
      </c>
      <c r="O175" s="20" t="inlineStr"/>
      <c r="P175" s="20" t="inlineStr"/>
      <c r="Q175" s="20" t="inlineStr"/>
      <c r="R175" s="21">
        <f>IF(O175="","",IF(Q175&lt;&gt;"",Q175-O175,TODAY()-O175))</f>
        <v/>
      </c>
      <c r="S175" s="17">
        <f>IF(R175="","",IF(R175&lt;=30,"0-30 Days",IF(R175&lt;=60,"31-60 Days",IF(R175&lt;=90,"61-90 Days",IF(R175&lt;=180,"91-180 Days","181+ Days")))))</f>
        <v/>
      </c>
      <c r="T175" s="16" t="inlineStr">
        <is>
          <t>Medium</t>
        </is>
      </c>
      <c r="U175" s="16" t="inlineStr">
        <is>
          <t>Pending</t>
        </is>
      </c>
      <c r="V175" s="16" t="inlineStr"/>
      <c r="W175" s="16" t="inlineStr"/>
      <c r="X175" s="16" t="inlineStr"/>
    </row>
    <row r="176">
      <c r="A176" s="16" t="inlineStr"/>
      <c r="B176" s="16" t="inlineStr"/>
      <c r="C176" s="17" t="inlineStr"/>
      <c r="D176" s="17" t="inlineStr"/>
      <c r="E176" s="16" t="inlineStr"/>
      <c r="F176" s="16" t="inlineStr"/>
      <c r="G176" s="16" t="inlineStr"/>
      <c r="H176" s="16" t="inlineStr"/>
      <c r="I176" s="16" t="inlineStr"/>
      <c r="J176" s="16" t="inlineStr">
        <is>
          <t>Open</t>
        </is>
      </c>
      <c r="K176" s="16" t="inlineStr">
        <is>
          <t>Medium</t>
        </is>
      </c>
      <c r="L176" s="16" t="inlineStr">
        <is>
          <t>Medium</t>
        </is>
      </c>
      <c r="M176" s="16" t="inlineStr">
        <is>
          <t>Possible</t>
        </is>
      </c>
      <c r="N176" s="21">
        <f>IF(OR(L176="",M176=""),"",IF(L176="Critical",4,IF(L176="High",3,IF(L176="Medium",2,1)))*IF(M176="Almost Certain",5,IF(M176="Likely",4,IF(M176="Possible",3,IF(M176="Unlikely",2,1)))))</f>
        <v/>
      </c>
      <c r="O176" s="20" t="inlineStr"/>
      <c r="P176" s="20" t="inlineStr"/>
      <c r="Q176" s="20" t="inlineStr"/>
      <c r="R176" s="21">
        <f>IF(O176="","",IF(Q176&lt;&gt;"",Q176-O176,TODAY()-O176))</f>
        <v/>
      </c>
      <c r="S176" s="17">
        <f>IF(R176="","",IF(R176&lt;=30,"0-30 Days",IF(R176&lt;=60,"31-60 Days",IF(R176&lt;=90,"61-90 Days",IF(R176&lt;=180,"91-180 Days","181+ Days")))))</f>
        <v/>
      </c>
      <c r="T176" s="16" t="inlineStr">
        <is>
          <t>Medium</t>
        </is>
      </c>
      <c r="U176" s="16" t="inlineStr">
        <is>
          <t>Pending</t>
        </is>
      </c>
      <c r="V176" s="16" t="inlineStr"/>
      <c r="W176" s="16" t="inlineStr"/>
      <c r="X176" s="16" t="inlineStr"/>
    </row>
    <row r="177">
      <c r="A177" s="16" t="inlineStr"/>
      <c r="B177" s="16" t="inlineStr"/>
      <c r="C177" s="17" t="inlineStr"/>
      <c r="D177" s="17" t="inlineStr"/>
      <c r="E177" s="16" t="inlineStr"/>
      <c r="F177" s="16" t="inlineStr"/>
      <c r="G177" s="16" t="inlineStr"/>
      <c r="H177" s="16" t="inlineStr"/>
      <c r="I177" s="16" t="inlineStr"/>
      <c r="J177" s="16" t="inlineStr">
        <is>
          <t>Open</t>
        </is>
      </c>
      <c r="K177" s="16" t="inlineStr">
        <is>
          <t>Medium</t>
        </is>
      </c>
      <c r="L177" s="16" t="inlineStr">
        <is>
          <t>Medium</t>
        </is>
      </c>
      <c r="M177" s="16" t="inlineStr">
        <is>
          <t>Possible</t>
        </is>
      </c>
      <c r="N177" s="21">
        <f>IF(OR(L177="",M177=""),"",IF(L177="Critical",4,IF(L177="High",3,IF(L177="Medium",2,1)))*IF(M177="Almost Certain",5,IF(M177="Likely",4,IF(M177="Possible",3,IF(M177="Unlikely",2,1)))))</f>
        <v/>
      </c>
      <c r="O177" s="20" t="inlineStr"/>
      <c r="P177" s="20" t="inlineStr"/>
      <c r="Q177" s="20" t="inlineStr"/>
      <c r="R177" s="21">
        <f>IF(O177="","",IF(Q177&lt;&gt;"",Q177-O177,TODAY()-O177))</f>
        <v/>
      </c>
      <c r="S177" s="17">
        <f>IF(R177="","",IF(R177&lt;=30,"0-30 Days",IF(R177&lt;=60,"31-60 Days",IF(R177&lt;=90,"61-90 Days",IF(R177&lt;=180,"91-180 Days","181+ Days")))))</f>
        <v/>
      </c>
      <c r="T177" s="16" t="inlineStr">
        <is>
          <t>Medium</t>
        </is>
      </c>
      <c r="U177" s="16" t="inlineStr">
        <is>
          <t>Pending</t>
        </is>
      </c>
      <c r="V177" s="16" t="inlineStr"/>
      <c r="W177" s="16" t="inlineStr"/>
      <c r="X177" s="16" t="inlineStr"/>
    </row>
    <row r="178">
      <c r="A178" s="16" t="inlineStr"/>
      <c r="B178" s="16" t="inlineStr"/>
      <c r="C178" s="17" t="inlineStr"/>
      <c r="D178" s="17" t="inlineStr"/>
      <c r="E178" s="16" t="inlineStr"/>
      <c r="F178" s="16" t="inlineStr"/>
      <c r="G178" s="16" t="inlineStr"/>
      <c r="H178" s="16" t="inlineStr"/>
      <c r="I178" s="16" t="inlineStr"/>
      <c r="J178" s="16" t="inlineStr">
        <is>
          <t>Open</t>
        </is>
      </c>
      <c r="K178" s="16" t="inlineStr">
        <is>
          <t>Medium</t>
        </is>
      </c>
      <c r="L178" s="16" t="inlineStr">
        <is>
          <t>Medium</t>
        </is>
      </c>
      <c r="M178" s="16" t="inlineStr">
        <is>
          <t>Possible</t>
        </is>
      </c>
      <c r="N178" s="21">
        <f>IF(OR(L178="",M178=""),"",IF(L178="Critical",4,IF(L178="High",3,IF(L178="Medium",2,1)))*IF(M178="Almost Certain",5,IF(M178="Likely",4,IF(M178="Possible",3,IF(M178="Unlikely",2,1)))))</f>
        <v/>
      </c>
      <c r="O178" s="20" t="inlineStr"/>
      <c r="P178" s="20" t="inlineStr"/>
      <c r="Q178" s="20" t="inlineStr"/>
      <c r="R178" s="21">
        <f>IF(O178="","",IF(Q178&lt;&gt;"",Q178-O178,TODAY()-O178))</f>
        <v/>
      </c>
      <c r="S178" s="17">
        <f>IF(R178="","",IF(R178&lt;=30,"0-30 Days",IF(R178&lt;=60,"31-60 Days",IF(R178&lt;=90,"61-90 Days",IF(R178&lt;=180,"91-180 Days","181+ Days")))))</f>
        <v/>
      </c>
      <c r="T178" s="16" t="inlineStr">
        <is>
          <t>Medium</t>
        </is>
      </c>
      <c r="U178" s="16" t="inlineStr">
        <is>
          <t>Pending</t>
        </is>
      </c>
      <c r="V178" s="16" t="inlineStr"/>
      <c r="W178" s="16" t="inlineStr"/>
      <c r="X178" s="16" t="inlineStr"/>
    </row>
    <row r="179">
      <c r="A179" s="16" t="inlineStr"/>
      <c r="B179" s="16" t="inlineStr"/>
      <c r="C179" s="17" t="inlineStr"/>
      <c r="D179" s="17" t="inlineStr"/>
      <c r="E179" s="16" t="inlineStr"/>
      <c r="F179" s="16" t="inlineStr"/>
      <c r="G179" s="16" t="inlineStr"/>
      <c r="H179" s="16" t="inlineStr"/>
      <c r="I179" s="16" t="inlineStr"/>
      <c r="J179" s="16" t="inlineStr">
        <is>
          <t>Open</t>
        </is>
      </c>
      <c r="K179" s="16" t="inlineStr">
        <is>
          <t>Medium</t>
        </is>
      </c>
      <c r="L179" s="16" t="inlineStr">
        <is>
          <t>Medium</t>
        </is>
      </c>
      <c r="M179" s="16" t="inlineStr">
        <is>
          <t>Possible</t>
        </is>
      </c>
      <c r="N179" s="21">
        <f>IF(OR(L179="",M179=""),"",IF(L179="Critical",4,IF(L179="High",3,IF(L179="Medium",2,1)))*IF(M179="Almost Certain",5,IF(M179="Likely",4,IF(M179="Possible",3,IF(M179="Unlikely",2,1)))))</f>
        <v/>
      </c>
      <c r="O179" s="20" t="inlineStr"/>
      <c r="P179" s="20" t="inlineStr"/>
      <c r="Q179" s="20" t="inlineStr"/>
      <c r="R179" s="21">
        <f>IF(O179="","",IF(Q179&lt;&gt;"",Q179-O179,TODAY()-O179))</f>
        <v/>
      </c>
      <c r="S179" s="17">
        <f>IF(R179="","",IF(R179&lt;=30,"0-30 Days",IF(R179&lt;=60,"31-60 Days",IF(R179&lt;=90,"61-90 Days",IF(R179&lt;=180,"91-180 Days","181+ Days")))))</f>
        <v/>
      </c>
      <c r="T179" s="16" t="inlineStr">
        <is>
          <t>Medium</t>
        </is>
      </c>
      <c r="U179" s="16" t="inlineStr">
        <is>
          <t>Pending</t>
        </is>
      </c>
      <c r="V179" s="16" t="inlineStr"/>
      <c r="W179" s="16" t="inlineStr"/>
      <c r="X179" s="16" t="inlineStr"/>
    </row>
    <row r="180">
      <c r="A180" s="16" t="inlineStr"/>
      <c r="B180" s="16" t="inlineStr"/>
      <c r="C180" s="17" t="inlineStr"/>
      <c r="D180" s="17" t="inlineStr"/>
      <c r="E180" s="16" t="inlineStr"/>
      <c r="F180" s="16" t="inlineStr"/>
      <c r="G180" s="16" t="inlineStr"/>
      <c r="H180" s="16" t="inlineStr"/>
      <c r="I180" s="16" t="inlineStr"/>
      <c r="J180" s="16" t="inlineStr">
        <is>
          <t>Open</t>
        </is>
      </c>
      <c r="K180" s="16" t="inlineStr">
        <is>
          <t>Medium</t>
        </is>
      </c>
      <c r="L180" s="16" t="inlineStr">
        <is>
          <t>Medium</t>
        </is>
      </c>
      <c r="M180" s="16" t="inlineStr">
        <is>
          <t>Possible</t>
        </is>
      </c>
      <c r="N180" s="21">
        <f>IF(OR(L180="",M180=""),"",IF(L180="Critical",4,IF(L180="High",3,IF(L180="Medium",2,1)))*IF(M180="Almost Certain",5,IF(M180="Likely",4,IF(M180="Possible",3,IF(M180="Unlikely",2,1)))))</f>
        <v/>
      </c>
      <c r="O180" s="20" t="inlineStr"/>
      <c r="P180" s="20" t="inlineStr"/>
      <c r="Q180" s="20" t="inlineStr"/>
      <c r="R180" s="21">
        <f>IF(O180="","",IF(Q180&lt;&gt;"",Q180-O180,TODAY()-O180))</f>
        <v/>
      </c>
      <c r="S180" s="17">
        <f>IF(R180="","",IF(R180&lt;=30,"0-30 Days",IF(R180&lt;=60,"31-60 Days",IF(R180&lt;=90,"61-90 Days",IF(R180&lt;=180,"91-180 Days","181+ Days")))))</f>
        <v/>
      </c>
      <c r="T180" s="16" t="inlineStr">
        <is>
          <t>Medium</t>
        </is>
      </c>
      <c r="U180" s="16" t="inlineStr">
        <is>
          <t>Pending</t>
        </is>
      </c>
      <c r="V180" s="16" t="inlineStr"/>
      <c r="W180" s="16" t="inlineStr"/>
      <c r="X180" s="16" t="inlineStr"/>
    </row>
    <row r="181">
      <c r="A181" s="16" t="inlineStr"/>
      <c r="B181" s="16" t="inlineStr"/>
      <c r="C181" s="17" t="inlineStr"/>
      <c r="D181" s="17" t="inlineStr"/>
      <c r="E181" s="16" t="inlineStr"/>
      <c r="F181" s="16" t="inlineStr"/>
      <c r="G181" s="16" t="inlineStr"/>
      <c r="H181" s="16" t="inlineStr"/>
      <c r="I181" s="16" t="inlineStr"/>
      <c r="J181" s="16" t="inlineStr">
        <is>
          <t>Open</t>
        </is>
      </c>
      <c r="K181" s="16" t="inlineStr">
        <is>
          <t>Medium</t>
        </is>
      </c>
      <c r="L181" s="16" t="inlineStr">
        <is>
          <t>Medium</t>
        </is>
      </c>
      <c r="M181" s="16" t="inlineStr">
        <is>
          <t>Possible</t>
        </is>
      </c>
      <c r="N181" s="21">
        <f>IF(OR(L181="",M181=""),"",IF(L181="Critical",4,IF(L181="High",3,IF(L181="Medium",2,1)))*IF(M181="Almost Certain",5,IF(M181="Likely",4,IF(M181="Possible",3,IF(M181="Unlikely",2,1)))))</f>
        <v/>
      </c>
      <c r="O181" s="20" t="inlineStr"/>
      <c r="P181" s="20" t="inlineStr"/>
      <c r="Q181" s="20" t="inlineStr"/>
      <c r="R181" s="21">
        <f>IF(O181="","",IF(Q181&lt;&gt;"",Q181-O181,TODAY()-O181))</f>
        <v/>
      </c>
      <c r="S181" s="17">
        <f>IF(R181="","",IF(R181&lt;=30,"0-30 Days",IF(R181&lt;=60,"31-60 Days",IF(R181&lt;=90,"61-90 Days",IF(R181&lt;=180,"91-180 Days","181+ Days")))))</f>
        <v/>
      </c>
      <c r="T181" s="16" t="inlineStr">
        <is>
          <t>Medium</t>
        </is>
      </c>
      <c r="U181" s="16" t="inlineStr">
        <is>
          <t>Pending</t>
        </is>
      </c>
      <c r="V181" s="16" t="inlineStr"/>
      <c r="W181" s="16" t="inlineStr"/>
      <c r="X181" s="16" t="inlineStr"/>
    </row>
    <row r="182">
      <c r="A182" s="16" t="inlineStr"/>
      <c r="B182" s="16" t="inlineStr"/>
      <c r="C182" s="17" t="inlineStr"/>
      <c r="D182" s="17" t="inlineStr"/>
      <c r="E182" s="16" t="inlineStr"/>
      <c r="F182" s="16" t="inlineStr"/>
      <c r="G182" s="16" t="inlineStr"/>
      <c r="H182" s="16" t="inlineStr"/>
      <c r="I182" s="16" t="inlineStr"/>
      <c r="J182" s="16" t="inlineStr">
        <is>
          <t>Open</t>
        </is>
      </c>
      <c r="K182" s="16" t="inlineStr">
        <is>
          <t>Medium</t>
        </is>
      </c>
      <c r="L182" s="16" t="inlineStr">
        <is>
          <t>Medium</t>
        </is>
      </c>
      <c r="M182" s="16" t="inlineStr">
        <is>
          <t>Possible</t>
        </is>
      </c>
      <c r="N182" s="21">
        <f>IF(OR(L182="",M182=""),"",IF(L182="Critical",4,IF(L182="High",3,IF(L182="Medium",2,1)))*IF(M182="Almost Certain",5,IF(M182="Likely",4,IF(M182="Possible",3,IF(M182="Unlikely",2,1)))))</f>
        <v/>
      </c>
      <c r="O182" s="20" t="inlineStr"/>
      <c r="P182" s="20" t="inlineStr"/>
      <c r="Q182" s="20" t="inlineStr"/>
      <c r="R182" s="21">
        <f>IF(O182="","",IF(Q182&lt;&gt;"",Q182-O182,TODAY()-O182))</f>
        <v/>
      </c>
      <c r="S182" s="17">
        <f>IF(R182="","",IF(R182&lt;=30,"0-30 Days",IF(R182&lt;=60,"31-60 Days",IF(R182&lt;=90,"61-90 Days",IF(R182&lt;=180,"91-180 Days","181+ Days")))))</f>
        <v/>
      </c>
      <c r="T182" s="16" t="inlineStr">
        <is>
          <t>Medium</t>
        </is>
      </c>
      <c r="U182" s="16" t="inlineStr">
        <is>
          <t>Pending</t>
        </is>
      </c>
      <c r="V182" s="16" t="inlineStr"/>
      <c r="W182" s="16" t="inlineStr"/>
      <c r="X182" s="16" t="inlineStr"/>
    </row>
    <row r="183">
      <c r="A183" s="16" t="inlineStr"/>
      <c r="B183" s="16" t="inlineStr"/>
      <c r="C183" s="17" t="inlineStr"/>
      <c r="D183" s="17" t="inlineStr"/>
      <c r="E183" s="16" t="inlineStr"/>
      <c r="F183" s="16" t="inlineStr"/>
      <c r="G183" s="16" t="inlineStr"/>
      <c r="H183" s="16" t="inlineStr"/>
      <c r="I183" s="16" t="inlineStr"/>
      <c r="J183" s="16" t="inlineStr">
        <is>
          <t>Open</t>
        </is>
      </c>
      <c r="K183" s="16" t="inlineStr">
        <is>
          <t>Medium</t>
        </is>
      </c>
      <c r="L183" s="16" t="inlineStr">
        <is>
          <t>Medium</t>
        </is>
      </c>
      <c r="M183" s="16" t="inlineStr">
        <is>
          <t>Possible</t>
        </is>
      </c>
      <c r="N183" s="21">
        <f>IF(OR(L183="",M183=""),"",IF(L183="Critical",4,IF(L183="High",3,IF(L183="Medium",2,1)))*IF(M183="Almost Certain",5,IF(M183="Likely",4,IF(M183="Possible",3,IF(M183="Unlikely",2,1)))))</f>
        <v/>
      </c>
      <c r="O183" s="20" t="inlineStr"/>
      <c r="P183" s="20" t="inlineStr"/>
      <c r="Q183" s="20" t="inlineStr"/>
      <c r="R183" s="21">
        <f>IF(O183="","",IF(Q183&lt;&gt;"",Q183-O183,TODAY()-O183))</f>
        <v/>
      </c>
      <c r="S183" s="17">
        <f>IF(R183="","",IF(R183&lt;=30,"0-30 Days",IF(R183&lt;=60,"31-60 Days",IF(R183&lt;=90,"61-90 Days",IF(R183&lt;=180,"91-180 Days","181+ Days")))))</f>
        <v/>
      </c>
      <c r="T183" s="16" t="inlineStr">
        <is>
          <t>Medium</t>
        </is>
      </c>
      <c r="U183" s="16" t="inlineStr">
        <is>
          <t>Pending</t>
        </is>
      </c>
      <c r="V183" s="16" t="inlineStr"/>
      <c r="W183" s="16" t="inlineStr"/>
      <c r="X183" s="16" t="inlineStr"/>
    </row>
    <row r="184">
      <c r="A184" s="16" t="inlineStr"/>
      <c r="B184" s="16" t="inlineStr"/>
      <c r="C184" s="17" t="inlineStr"/>
      <c r="D184" s="17" t="inlineStr"/>
      <c r="E184" s="16" t="inlineStr"/>
      <c r="F184" s="16" t="inlineStr"/>
      <c r="G184" s="16" t="inlineStr"/>
      <c r="H184" s="16" t="inlineStr"/>
      <c r="I184" s="16" t="inlineStr"/>
      <c r="J184" s="16" t="inlineStr">
        <is>
          <t>Open</t>
        </is>
      </c>
      <c r="K184" s="16" t="inlineStr">
        <is>
          <t>Medium</t>
        </is>
      </c>
      <c r="L184" s="16" t="inlineStr">
        <is>
          <t>Medium</t>
        </is>
      </c>
      <c r="M184" s="16" t="inlineStr">
        <is>
          <t>Possible</t>
        </is>
      </c>
      <c r="N184" s="21">
        <f>IF(OR(L184="",M184=""),"",IF(L184="Critical",4,IF(L184="High",3,IF(L184="Medium",2,1)))*IF(M184="Almost Certain",5,IF(M184="Likely",4,IF(M184="Possible",3,IF(M184="Unlikely",2,1)))))</f>
        <v/>
      </c>
      <c r="O184" s="20" t="inlineStr"/>
      <c r="P184" s="20" t="inlineStr"/>
      <c r="Q184" s="20" t="inlineStr"/>
      <c r="R184" s="21">
        <f>IF(O184="","",IF(Q184&lt;&gt;"",Q184-O184,TODAY()-O184))</f>
        <v/>
      </c>
      <c r="S184" s="17">
        <f>IF(R184="","",IF(R184&lt;=30,"0-30 Days",IF(R184&lt;=60,"31-60 Days",IF(R184&lt;=90,"61-90 Days",IF(R184&lt;=180,"91-180 Days","181+ Days")))))</f>
        <v/>
      </c>
      <c r="T184" s="16" t="inlineStr">
        <is>
          <t>Medium</t>
        </is>
      </c>
      <c r="U184" s="16" t="inlineStr">
        <is>
          <t>Pending</t>
        </is>
      </c>
      <c r="V184" s="16" t="inlineStr"/>
      <c r="W184" s="16" t="inlineStr"/>
      <c r="X184" s="16" t="inlineStr"/>
    </row>
    <row r="185">
      <c r="A185" s="16" t="inlineStr"/>
      <c r="B185" s="16" t="inlineStr"/>
      <c r="C185" s="17" t="inlineStr"/>
      <c r="D185" s="17" t="inlineStr"/>
      <c r="E185" s="16" t="inlineStr"/>
      <c r="F185" s="16" t="inlineStr"/>
      <c r="G185" s="16" t="inlineStr"/>
      <c r="H185" s="16" t="inlineStr"/>
      <c r="I185" s="16" t="inlineStr"/>
      <c r="J185" s="16" t="inlineStr">
        <is>
          <t>Open</t>
        </is>
      </c>
      <c r="K185" s="16" t="inlineStr">
        <is>
          <t>Medium</t>
        </is>
      </c>
      <c r="L185" s="16" t="inlineStr">
        <is>
          <t>Medium</t>
        </is>
      </c>
      <c r="M185" s="16" t="inlineStr">
        <is>
          <t>Possible</t>
        </is>
      </c>
      <c r="N185" s="21">
        <f>IF(OR(L185="",M185=""),"",IF(L185="Critical",4,IF(L185="High",3,IF(L185="Medium",2,1)))*IF(M185="Almost Certain",5,IF(M185="Likely",4,IF(M185="Possible",3,IF(M185="Unlikely",2,1)))))</f>
        <v/>
      </c>
      <c r="O185" s="20" t="inlineStr"/>
      <c r="P185" s="20" t="inlineStr"/>
      <c r="Q185" s="20" t="inlineStr"/>
      <c r="R185" s="21">
        <f>IF(O185="","",IF(Q185&lt;&gt;"",Q185-O185,TODAY()-O185))</f>
        <v/>
      </c>
      <c r="S185" s="17">
        <f>IF(R185="","",IF(R185&lt;=30,"0-30 Days",IF(R185&lt;=60,"31-60 Days",IF(R185&lt;=90,"61-90 Days",IF(R185&lt;=180,"91-180 Days","181+ Days")))))</f>
        <v/>
      </c>
      <c r="T185" s="16" t="inlineStr">
        <is>
          <t>Medium</t>
        </is>
      </c>
      <c r="U185" s="16" t="inlineStr">
        <is>
          <t>Pending</t>
        </is>
      </c>
      <c r="V185" s="16" t="inlineStr"/>
      <c r="W185" s="16" t="inlineStr"/>
      <c r="X185" s="16" t="inlineStr"/>
    </row>
    <row r="186">
      <c r="A186" s="16" t="inlineStr"/>
      <c r="B186" s="16" t="inlineStr"/>
      <c r="C186" s="17" t="inlineStr"/>
      <c r="D186" s="17" t="inlineStr"/>
      <c r="E186" s="16" t="inlineStr"/>
      <c r="F186" s="16" t="inlineStr"/>
      <c r="G186" s="16" t="inlineStr"/>
      <c r="H186" s="16" t="inlineStr"/>
      <c r="I186" s="16" t="inlineStr"/>
      <c r="J186" s="16" t="inlineStr">
        <is>
          <t>Open</t>
        </is>
      </c>
      <c r="K186" s="16" t="inlineStr">
        <is>
          <t>Medium</t>
        </is>
      </c>
      <c r="L186" s="16" t="inlineStr">
        <is>
          <t>Medium</t>
        </is>
      </c>
      <c r="M186" s="16" t="inlineStr">
        <is>
          <t>Possible</t>
        </is>
      </c>
      <c r="N186" s="21">
        <f>IF(OR(L186="",M186=""),"",IF(L186="Critical",4,IF(L186="High",3,IF(L186="Medium",2,1)))*IF(M186="Almost Certain",5,IF(M186="Likely",4,IF(M186="Possible",3,IF(M186="Unlikely",2,1)))))</f>
        <v/>
      </c>
      <c r="O186" s="20" t="inlineStr"/>
      <c r="P186" s="20" t="inlineStr"/>
      <c r="Q186" s="20" t="inlineStr"/>
      <c r="R186" s="21">
        <f>IF(O186="","",IF(Q186&lt;&gt;"",Q186-O186,TODAY()-O186))</f>
        <v/>
      </c>
      <c r="S186" s="17">
        <f>IF(R186="","",IF(R186&lt;=30,"0-30 Days",IF(R186&lt;=60,"31-60 Days",IF(R186&lt;=90,"61-90 Days",IF(R186&lt;=180,"91-180 Days","181+ Days")))))</f>
        <v/>
      </c>
      <c r="T186" s="16" t="inlineStr">
        <is>
          <t>Medium</t>
        </is>
      </c>
      <c r="U186" s="16" t="inlineStr">
        <is>
          <t>Pending</t>
        </is>
      </c>
      <c r="V186" s="16" t="inlineStr"/>
      <c r="W186" s="16" t="inlineStr"/>
      <c r="X186" s="16" t="inlineStr"/>
    </row>
    <row r="187">
      <c r="A187" s="16" t="inlineStr"/>
      <c r="B187" s="16" t="inlineStr"/>
      <c r="C187" s="17" t="inlineStr"/>
      <c r="D187" s="17" t="inlineStr"/>
      <c r="E187" s="16" t="inlineStr"/>
      <c r="F187" s="16" t="inlineStr"/>
      <c r="G187" s="16" t="inlineStr"/>
      <c r="H187" s="16" t="inlineStr"/>
      <c r="I187" s="16" t="inlineStr"/>
      <c r="J187" s="16" t="inlineStr">
        <is>
          <t>Open</t>
        </is>
      </c>
      <c r="K187" s="16" t="inlineStr">
        <is>
          <t>Medium</t>
        </is>
      </c>
      <c r="L187" s="16" t="inlineStr">
        <is>
          <t>Medium</t>
        </is>
      </c>
      <c r="M187" s="16" t="inlineStr">
        <is>
          <t>Possible</t>
        </is>
      </c>
      <c r="N187" s="21">
        <f>IF(OR(L187="",M187=""),"",IF(L187="Critical",4,IF(L187="High",3,IF(L187="Medium",2,1)))*IF(M187="Almost Certain",5,IF(M187="Likely",4,IF(M187="Possible",3,IF(M187="Unlikely",2,1)))))</f>
        <v/>
      </c>
      <c r="O187" s="20" t="inlineStr"/>
      <c r="P187" s="20" t="inlineStr"/>
      <c r="Q187" s="20" t="inlineStr"/>
      <c r="R187" s="21">
        <f>IF(O187="","",IF(Q187&lt;&gt;"",Q187-O187,TODAY()-O187))</f>
        <v/>
      </c>
      <c r="S187" s="17">
        <f>IF(R187="","",IF(R187&lt;=30,"0-30 Days",IF(R187&lt;=60,"31-60 Days",IF(R187&lt;=90,"61-90 Days",IF(R187&lt;=180,"91-180 Days","181+ Days")))))</f>
        <v/>
      </c>
      <c r="T187" s="16" t="inlineStr">
        <is>
          <t>Medium</t>
        </is>
      </c>
      <c r="U187" s="16" t="inlineStr">
        <is>
          <t>Pending</t>
        </is>
      </c>
      <c r="V187" s="16" t="inlineStr"/>
      <c r="W187" s="16" t="inlineStr"/>
      <c r="X187" s="16" t="inlineStr"/>
    </row>
    <row r="188">
      <c r="A188" s="16" t="inlineStr"/>
      <c r="B188" s="16" t="inlineStr"/>
      <c r="C188" s="17" t="inlineStr"/>
      <c r="D188" s="17" t="inlineStr"/>
      <c r="E188" s="16" t="inlineStr"/>
      <c r="F188" s="16" t="inlineStr"/>
      <c r="G188" s="16" t="inlineStr"/>
      <c r="H188" s="16" t="inlineStr"/>
      <c r="I188" s="16" t="inlineStr"/>
      <c r="J188" s="16" t="inlineStr">
        <is>
          <t>Open</t>
        </is>
      </c>
      <c r="K188" s="16" t="inlineStr">
        <is>
          <t>Medium</t>
        </is>
      </c>
      <c r="L188" s="16" t="inlineStr">
        <is>
          <t>Medium</t>
        </is>
      </c>
      <c r="M188" s="16" t="inlineStr">
        <is>
          <t>Possible</t>
        </is>
      </c>
      <c r="N188" s="21">
        <f>IF(OR(L188="",M188=""),"",IF(L188="Critical",4,IF(L188="High",3,IF(L188="Medium",2,1)))*IF(M188="Almost Certain",5,IF(M188="Likely",4,IF(M188="Possible",3,IF(M188="Unlikely",2,1)))))</f>
        <v/>
      </c>
      <c r="O188" s="20" t="inlineStr"/>
      <c r="P188" s="20" t="inlineStr"/>
      <c r="Q188" s="20" t="inlineStr"/>
      <c r="R188" s="21">
        <f>IF(O188="","",IF(Q188&lt;&gt;"",Q188-O188,TODAY()-O188))</f>
        <v/>
      </c>
      <c r="S188" s="17">
        <f>IF(R188="","",IF(R188&lt;=30,"0-30 Days",IF(R188&lt;=60,"31-60 Days",IF(R188&lt;=90,"61-90 Days",IF(R188&lt;=180,"91-180 Days","181+ Days")))))</f>
        <v/>
      </c>
      <c r="T188" s="16" t="inlineStr">
        <is>
          <t>Medium</t>
        </is>
      </c>
      <c r="U188" s="16" t="inlineStr">
        <is>
          <t>Pending</t>
        </is>
      </c>
      <c r="V188" s="16" t="inlineStr"/>
      <c r="W188" s="16" t="inlineStr"/>
      <c r="X188" s="16" t="inlineStr"/>
    </row>
    <row r="189">
      <c r="A189" s="16" t="inlineStr"/>
      <c r="B189" s="16" t="inlineStr"/>
      <c r="C189" s="17" t="inlineStr"/>
      <c r="D189" s="17" t="inlineStr"/>
      <c r="E189" s="16" t="inlineStr"/>
      <c r="F189" s="16" t="inlineStr"/>
      <c r="G189" s="16" t="inlineStr"/>
      <c r="H189" s="16" t="inlineStr"/>
      <c r="I189" s="16" t="inlineStr"/>
      <c r="J189" s="16" t="inlineStr">
        <is>
          <t>Open</t>
        </is>
      </c>
      <c r="K189" s="16" t="inlineStr">
        <is>
          <t>Medium</t>
        </is>
      </c>
      <c r="L189" s="16" t="inlineStr">
        <is>
          <t>Medium</t>
        </is>
      </c>
      <c r="M189" s="16" t="inlineStr">
        <is>
          <t>Possible</t>
        </is>
      </c>
      <c r="N189" s="21">
        <f>IF(OR(L189="",M189=""),"",IF(L189="Critical",4,IF(L189="High",3,IF(L189="Medium",2,1)))*IF(M189="Almost Certain",5,IF(M189="Likely",4,IF(M189="Possible",3,IF(M189="Unlikely",2,1)))))</f>
        <v/>
      </c>
      <c r="O189" s="20" t="inlineStr"/>
      <c r="P189" s="20" t="inlineStr"/>
      <c r="Q189" s="20" t="inlineStr"/>
      <c r="R189" s="21">
        <f>IF(O189="","",IF(Q189&lt;&gt;"",Q189-O189,TODAY()-O189))</f>
        <v/>
      </c>
      <c r="S189" s="17">
        <f>IF(R189="","",IF(R189&lt;=30,"0-30 Days",IF(R189&lt;=60,"31-60 Days",IF(R189&lt;=90,"61-90 Days",IF(R189&lt;=180,"91-180 Days","181+ Days")))))</f>
        <v/>
      </c>
      <c r="T189" s="16" t="inlineStr">
        <is>
          <t>Medium</t>
        </is>
      </c>
      <c r="U189" s="16" t="inlineStr">
        <is>
          <t>Pending</t>
        </is>
      </c>
      <c r="V189" s="16" t="inlineStr"/>
      <c r="W189" s="16" t="inlineStr"/>
      <c r="X189" s="16" t="inlineStr"/>
    </row>
    <row r="190">
      <c r="A190" s="16" t="inlineStr"/>
      <c r="B190" s="16" t="inlineStr"/>
      <c r="C190" s="17" t="inlineStr"/>
      <c r="D190" s="17" t="inlineStr"/>
      <c r="E190" s="16" t="inlineStr"/>
      <c r="F190" s="16" t="inlineStr"/>
      <c r="G190" s="16" t="inlineStr"/>
      <c r="H190" s="16" t="inlineStr"/>
      <c r="I190" s="16" t="inlineStr"/>
      <c r="J190" s="16" t="inlineStr">
        <is>
          <t>Open</t>
        </is>
      </c>
      <c r="K190" s="16" t="inlineStr">
        <is>
          <t>Medium</t>
        </is>
      </c>
      <c r="L190" s="16" t="inlineStr">
        <is>
          <t>Medium</t>
        </is>
      </c>
      <c r="M190" s="16" t="inlineStr">
        <is>
          <t>Possible</t>
        </is>
      </c>
      <c r="N190" s="21">
        <f>IF(OR(L190="",M190=""),"",IF(L190="Critical",4,IF(L190="High",3,IF(L190="Medium",2,1)))*IF(M190="Almost Certain",5,IF(M190="Likely",4,IF(M190="Possible",3,IF(M190="Unlikely",2,1)))))</f>
        <v/>
      </c>
      <c r="O190" s="20" t="inlineStr"/>
      <c r="P190" s="20" t="inlineStr"/>
      <c r="Q190" s="20" t="inlineStr"/>
      <c r="R190" s="21">
        <f>IF(O190="","",IF(Q190&lt;&gt;"",Q190-O190,TODAY()-O190))</f>
        <v/>
      </c>
      <c r="S190" s="17">
        <f>IF(R190="","",IF(R190&lt;=30,"0-30 Days",IF(R190&lt;=60,"31-60 Days",IF(R190&lt;=90,"61-90 Days",IF(R190&lt;=180,"91-180 Days","181+ Days")))))</f>
        <v/>
      </c>
      <c r="T190" s="16" t="inlineStr">
        <is>
          <t>Medium</t>
        </is>
      </c>
      <c r="U190" s="16" t="inlineStr">
        <is>
          <t>Pending</t>
        </is>
      </c>
      <c r="V190" s="16" t="inlineStr"/>
      <c r="W190" s="16" t="inlineStr"/>
      <c r="X190" s="16" t="inlineStr"/>
    </row>
    <row r="191">
      <c r="A191" s="16" t="inlineStr"/>
      <c r="B191" s="16" t="inlineStr"/>
      <c r="C191" s="17" t="inlineStr"/>
      <c r="D191" s="17" t="inlineStr"/>
      <c r="E191" s="16" t="inlineStr"/>
      <c r="F191" s="16" t="inlineStr"/>
      <c r="G191" s="16" t="inlineStr"/>
      <c r="H191" s="16" t="inlineStr"/>
      <c r="I191" s="16" t="inlineStr"/>
      <c r="J191" s="16" t="inlineStr">
        <is>
          <t>Open</t>
        </is>
      </c>
      <c r="K191" s="16" t="inlineStr">
        <is>
          <t>Medium</t>
        </is>
      </c>
      <c r="L191" s="16" t="inlineStr">
        <is>
          <t>Medium</t>
        </is>
      </c>
      <c r="M191" s="16" t="inlineStr">
        <is>
          <t>Possible</t>
        </is>
      </c>
      <c r="N191" s="21">
        <f>IF(OR(L191="",M191=""),"",IF(L191="Critical",4,IF(L191="High",3,IF(L191="Medium",2,1)))*IF(M191="Almost Certain",5,IF(M191="Likely",4,IF(M191="Possible",3,IF(M191="Unlikely",2,1)))))</f>
        <v/>
      </c>
      <c r="O191" s="20" t="inlineStr"/>
      <c r="P191" s="20" t="inlineStr"/>
      <c r="Q191" s="20" t="inlineStr"/>
      <c r="R191" s="21">
        <f>IF(O191="","",IF(Q191&lt;&gt;"",Q191-O191,TODAY()-O191))</f>
        <v/>
      </c>
      <c r="S191" s="17">
        <f>IF(R191="","",IF(R191&lt;=30,"0-30 Days",IF(R191&lt;=60,"31-60 Days",IF(R191&lt;=90,"61-90 Days",IF(R191&lt;=180,"91-180 Days","181+ Days")))))</f>
        <v/>
      </c>
      <c r="T191" s="16" t="inlineStr">
        <is>
          <t>Medium</t>
        </is>
      </c>
      <c r="U191" s="16" t="inlineStr">
        <is>
          <t>Pending</t>
        </is>
      </c>
      <c r="V191" s="16" t="inlineStr"/>
      <c r="W191" s="16" t="inlineStr"/>
      <c r="X191" s="16" t="inlineStr"/>
    </row>
    <row r="192">
      <c r="A192" s="16" t="inlineStr"/>
      <c r="B192" s="16" t="inlineStr"/>
      <c r="C192" s="17" t="inlineStr"/>
      <c r="D192" s="17" t="inlineStr"/>
      <c r="E192" s="16" t="inlineStr"/>
      <c r="F192" s="16" t="inlineStr"/>
      <c r="G192" s="16" t="inlineStr"/>
      <c r="H192" s="16" t="inlineStr"/>
      <c r="I192" s="16" t="inlineStr"/>
      <c r="J192" s="16" t="inlineStr">
        <is>
          <t>Open</t>
        </is>
      </c>
      <c r="K192" s="16" t="inlineStr">
        <is>
          <t>Medium</t>
        </is>
      </c>
      <c r="L192" s="16" t="inlineStr">
        <is>
          <t>Medium</t>
        </is>
      </c>
      <c r="M192" s="16" t="inlineStr">
        <is>
          <t>Possible</t>
        </is>
      </c>
      <c r="N192" s="21">
        <f>IF(OR(L192="",M192=""),"",IF(L192="Critical",4,IF(L192="High",3,IF(L192="Medium",2,1)))*IF(M192="Almost Certain",5,IF(M192="Likely",4,IF(M192="Possible",3,IF(M192="Unlikely",2,1)))))</f>
        <v/>
      </c>
      <c r="O192" s="20" t="inlineStr"/>
      <c r="P192" s="20" t="inlineStr"/>
      <c r="Q192" s="20" t="inlineStr"/>
      <c r="R192" s="21">
        <f>IF(O192="","",IF(Q192&lt;&gt;"",Q192-O192,TODAY()-O192))</f>
        <v/>
      </c>
      <c r="S192" s="17">
        <f>IF(R192="","",IF(R192&lt;=30,"0-30 Days",IF(R192&lt;=60,"31-60 Days",IF(R192&lt;=90,"61-90 Days",IF(R192&lt;=180,"91-180 Days","181+ Days")))))</f>
        <v/>
      </c>
      <c r="T192" s="16" t="inlineStr">
        <is>
          <t>Medium</t>
        </is>
      </c>
      <c r="U192" s="16" t="inlineStr">
        <is>
          <t>Pending</t>
        </is>
      </c>
      <c r="V192" s="16" t="inlineStr"/>
      <c r="W192" s="16" t="inlineStr"/>
      <c r="X192" s="16" t="inlineStr"/>
    </row>
    <row r="193">
      <c r="A193" s="16" t="inlineStr"/>
      <c r="B193" s="16" t="inlineStr"/>
      <c r="C193" s="17" t="inlineStr"/>
      <c r="D193" s="17" t="inlineStr"/>
      <c r="E193" s="16" t="inlineStr"/>
      <c r="F193" s="16" t="inlineStr"/>
      <c r="G193" s="16" t="inlineStr"/>
      <c r="H193" s="16" t="inlineStr"/>
      <c r="I193" s="16" t="inlineStr"/>
      <c r="J193" s="16" t="inlineStr">
        <is>
          <t>Open</t>
        </is>
      </c>
      <c r="K193" s="16" t="inlineStr">
        <is>
          <t>Medium</t>
        </is>
      </c>
      <c r="L193" s="16" t="inlineStr">
        <is>
          <t>Medium</t>
        </is>
      </c>
      <c r="M193" s="16" t="inlineStr">
        <is>
          <t>Possible</t>
        </is>
      </c>
      <c r="N193" s="21">
        <f>IF(OR(L193="",M193=""),"",IF(L193="Critical",4,IF(L193="High",3,IF(L193="Medium",2,1)))*IF(M193="Almost Certain",5,IF(M193="Likely",4,IF(M193="Possible",3,IF(M193="Unlikely",2,1)))))</f>
        <v/>
      </c>
      <c r="O193" s="20" t="inlineStr"/>
      <c r="P193" s="20" t="inlineStr"/>
      <c r="Q193" s="20" t="inlineStr"/>
      <c r="R193" s="21">
        <f>IF(O193="","",IF(Q193&lt;&gt;"",Q193-O193,TODAY()-O193))</f>
        <v/>
      </c>
      <c r="S193" s="17">
        <f>IF(R193="","",IF(R193&lt;=30,"0-30 Days",IF(R193&lt;=60,"31-60 Days",IF(R193&lt;=90,"61-90 Days",IF(R193&lt;=180,"91-180 Days","181+ Days")))))</f>
        <v/>
      </c>
      <c r="T193" s="16" t="inlineStr">
        <is>
          <t>Medium</t>
        </is>
      </c>
      <c r="U193" s="16" t="inlineStr">
        <is>
          <t>Pending</t>
        </is>
      </c>
      <c r="V193" s="16" t="inlineStr"/>
      <c r="W193" s="16" t="inlineStr"/>
      <c r="X193" s="16" t="inlineStr"/>
    </row>
    <row r="194">
      <c r="A194" s="16" t="inlineStr"/>
      <c r="B194" s="16" t="inlineStr"/>
      <c r="C194" s="17" t="inlineStr"/>
      <c r="D194" s="17" t="inlineStr"/>
      <c r="E194" s="16" t="inlineStr"/>
      <c r="F194" s="16" t="inlineStr"/>
      <c r="G194" s="16" t="inlineStr"/>
      <c r="H194" s="16" t="inlineStr"/>
      <c r="I194" s="16" t="inlineStr"/>
      <c r="J194" s="16" t="inlineStr">
        <is>
          <t>Open</t>
        </is>
      </c>
      <c r="K194" s="16" t="inlineStr">
        <is>
          <t>Medium</t>
        </is>
      </c>
      <c r="L194" s="16" t="inlineStr">
        <is>
          <t>Medium</t>
        </is>
      </c>
      <c r="M194" s="16" t="inlineStr">
        <is>
          <t>Possible</t>
        </is>
      </c>
      <c r="N194" s="21">
        <f>IF(OR(L194="",M194=""),"",IF(L194="Critical",4,IF(L194="High",3,IF(L194="Medium",2,1)))*IF(M194="Almost Certain",5,IF(M194="Likely",4,IF(M194="Possible",3,IF(M194="Unlikely",2,1)))))</f>
        <v/>
      </c>
      <c r="O194" s="20" t="inlineStr"/>
      <c r="P194" s="20" t="inlineStr"/>
      <c r="Q194" s="20" t="inlineStr"/>
      <c r="R194" s="21">
        <f>IF(O194="","",IF(Q194&lt;&gt;"",Q194-O194,TODAY()-O194))</f>
        <v/>
      </c>
      <c r="S194" s="17">
        <f>IF(R194="","",IF(R194&lt;=30,"0-30 Days",IF(R194&lt;=60,"31-60 Days",IF(R194&lt;=90,"61-90 Days",IF(R194&lt;=180,"91-180 Days","181+ Days")))))</f>
        <v/>
      </c>
      <c r="T194" s="16" t="inlineStr">
        <is>
          <t>Medium</t>
        </is>
      </c>
      <c r="U194" s="16" t="inlineStr">
        <is>
          <t>Pending</t>
        </is>
      </c>
      <c r="V194" s="16" t="inlineStr"/>
      <c r="W194" s="16" t="inlineStr"/>
      <c r="X194" s="16" t="inlineStr"/>
    </row>
    <row r="195">
      <c r="A195" s="16" t="inlineStr"/>
      <c r="B195" s="16" t="inlineStr"/>
      <c r="C195" s="17" t="inlineStr"/>
      <c r="D195" s="17" t="inlineStr"/>
      <c r="E195" s="16" t="inlineStr"/>
      <c r="F195" s="16" t="inlineStr"/>
      <c r="G195" s="16" t="inlineStr"/>
      <c r="H195" s="16" t="inlineStr"/>
      <c r="I195" s="16" t="inlineStr"/>
      <c r="J195" s="16" t="inlineStr">
        <is>
          <t>Open</t>
        </is>
      </c>
      <c r="K195" s="16" t="inlineStr">
        <is>
          <t>Medium</t>
        </is>
      </c>
      <c r="L195" s="16" t="inlineStr">
        <is>
          <t>Medium</t>
        </is>
      </c>
      <c r="M195" s="16" t="inlineStr">
        <is>
          <t>Possible</t>
        </is>
      </c>
      <c r="N195" s="21">
        <f>IF(OR(L195="",M195=""),"",IF(L195="Critical",4,IF(L195="High",3,IF(L195="Medium",2,1)))*IF(M195="Almost Certain",5,IF(M195="Likely",4,IF(M195="Possible",3,IF(M195="Unlikely",2,1)))))</f>
        <v/>
      </c>
      <c r="O195" s="20" t="inlineStr"/>
      <c r="P195" s="20" t="inlineStr"/>
      <c r="Q195" s="20" t="inlineStr"/>
      <c r="R195" s="21">
        <f>IF(O195="","",IF(Q195&lt;&gt;"",Q195-O195,TODAY()-O195))</f>
        <v/>
      </c>
      <c r="S195" s="17">
        <f>IF(R195="","",IF(R195&lt;=30,"0-30 Days",IF(R195&lt;=60,"31-60 Days",IF(R195&lt;=90,"61-90 Days",IF(R195&lt;=180,"91-180 Days","181+ Days")))))</f>
        <v/>
      </c>
      <c r="T195" s="16" t="inlineStr">
        <is>
          <t>Medium</t>
        </is>
      </c>
      <c r="U195" s="16" t="inlineStr">
        <is>
          <t>Pending</t>
        </is>
      </c>
      <c r="V195" s="16" t="inlineStr"/>
      <c r="W195" s="16" t="inlineStr"/>
      <c r="X195" s="16" t="inlineStr"/>
    </row>
    <row r="196">
      <c r="A196" s="16" t="inlineStr"/>
      <c r="B196" s="16" t="inlineStr"/>
      <c r="C196" s="17" t="inlineStr"/>
      <c r="D196" s="17" t="inlineStr"/>
      <c r="E196" s="16" t="inlineStr"/>
      <c r="F196" s="16" t="inlineStr"/>
      <c r="G196" s="16" t="inlineStr"/>
      <c r="H196" s="16" t="inlineStr"/>
      <c r="I196" s="16" t="inlineStr"/>
      <c r="J196" s="16" t="inlineStr">
        <is>
          <t>Open</t>
        </is>
      </c>
      <c r="K196" s="16" t="inlineStr">
        <is>
          <t>Medium</t>
        </is>
      </c>
      <c r="L196" s="16" t="inlineStr">
        <is>
          <t>Medium</t>
        </is>
      </c>
      <c r="M196" s="16" t="inlineStr">
        <is>
          <t>Possible</t>
        </is>
      </c>
      <c r="N196" s="21">
        <f>IF(OR(L196="",M196=""),"",IF(L196="Critical",4,IF(L196="High",3,IF(L196="Medium",2,1)))*IF(M196="Almost Certain",5,IF(M196="Likely",4,IF(M196="Possible",3,IF(M196="Unlikely",2,1)))))</f>
        <v/>
      </c>
      <c r="O196" s="20" t="inlineStr"/>
      <c r="P196" s="20" t="inlineStr"/>
      <c r="Q196" s="20" t="inlineStr"/>
      <c r="R196" s="21">
        <f>IF(O196="","",IF(Q196&lt;&gt;"",Q196-O196,TODAY()-O196))</f>
        <v/>
      </c>
      <c r="S196" s="17">
        <f>IF(R196="","",IF(R196&lt;=30,"0-30 Days",IF(R196&lt;=60,"31-60 Days",IF(R196&lt;=90,"61-90 Days",IF(R196&lt;=180,"91-180 Days","181+ Days")))))</f>
        <v/>
      </c>
      <c r="T196" s="16" t="inlineStr">
        <is>
          <t>Medium</t>
        </is>
      </c>
      <c r="U196" s="16" t="inlineStr">
        <is>
          <t>Pending</t>
        </is>
      </c>
      <c r="V196" s="16" t="inlineStr"/>
      <c r="W196" s="16" t="inlineStr"/>
      <c r="X196" s="16" t="inlineStr"/>
    </row>
    <row r="197">
      <c r="A197" s="16" t="inlineStr"/>
      <c r="B197" s="16" t="inlineStr"/>
      <c r="C197" s="17" t="inlineStr"/>
      <c r="D197" s="17" t="inlineStr"/>
      <c r="E197" s="16" t="inlineStr"/>
      <c r="F197" s="16" t="inlineStr"/>
      <c r="G197" s="16" t="inlineStr"/>
      <c r="H197" s="16" t="inlineStr"/>
      <c r="I197" s="16" t="inlineStr"/>
      <c r="J197" s="16" t="inlineStr">
        <is>
          <t>Open</t>
        </is>
      </c>
      <c r="K197" s="16" t="inlineStr">
        <is>
          <t>Medium</t>
        </is>
      </c>
      <c r="L197" s="16" t="inlineStr">
        <is>
          <t>Medium</t>
        </is>
      </c>
      <c r="M197" s="16" t="inlineStr">
        <is>
          <t>Possible</t>
        </is>
      </c>
      <c r="N197" s="21">
        <f>IF(OR(L197="",M197=""),"",IF(L197="Critical",4,IF(L197="High",3,IF(L197="Medium",2,1)))*IF(M197="Almost Certain",5,IF(M197="Likely",4,IF(M197="Possible",3,IF(M197="Unlikely",2,1)))))</f>
        <v/>
      </c>
      <c r="O197" s="20" t="inlineStr"/>
      <c r="P197" s="20" t="inlineStr"/>
      <c r="Q197" s="20" t="inlineStr"/>
      <c r="R197" s="21">
        <f>IF(O197="","",IF(Q197&lt;&gt;"",Q197-O197,TODAY()-O197))</f>
        <v/>
      </c>
      <c r="S197" s="17">
        <f>IF(R197="","",IF(R197&lt;=30,"0-30 Days",IF(R197&lt;=60,"31-60 Days",IF(R197&lt;=90,"61-90 Days",IF(R197&lt;=180,"91-180 Days","181+ Days")))))</f>
        <v/>
      </c>
      <c r="T197" s="16" t="inlineStr">
        <is>
          <t>Medium</t>
        </is>
      </c>
      <c r="U197" s="16" t="inlineStr">
        <is>
          <t>Pending</t>
        </is>
      </c>
      <c r="V197" s="16" t="inlineStr"/>
      <c r="W197" s="16" t="inlineStr"/>
      <c r="X197" s="16" t="inlineStr"/>
    </row>
    <row r="198">
      <c r="A198" s="16" t="inlineStr"/>
      <c r="B198" s="16" t="inlineStr"/>
      <c r="C198" s="17" t="inlineStr"/>
      <c r="D198" s="17" t="inlineStr"/>
      <c r="E198" s="16" t="inlineStr"/>
      <c r="F198" s="16" t="inlineStr"/>
      <c r="G198" s="16" t="inlineStr"/>
      <c r="H198" s="16" t="inlineStr"/>
      <c r="I198" s="16" t="inlineStr"/>
      <c r="J198" s="16" t="inlineStr">
        <is>
          <t>Open</t>
        </is>
      </c>
      <c r="K198" s="16" t="inlineStr">
        <is>
          <t>Medium</t>
        </is>
      </c>
      <c r="L198" s="16" t="inlineStr">
        <is>
          <t>Medium</t>
        </is>
      </c>
      <c r="M198" s="16" t="inlineStr">
        <is>
          <t>Possible</t>
        </is>
      </c>
      <c r="N198" s="21">
        <f>IF(OR(L198="",M198=""),"",IF(L198="Critical",4,IF(L198="High",3,IF(L198="Medium",2,1)))*IF(M198="Almost Certain",5,IF(M198="Likely",4,IF(M198="Possible",3,IF(M198="Unlikely",2,1)))))</f>
        <v/>
      </c>
      <c r="O198" s="20" t="inlineStr"/>
      <c r="P198" s="20" t="inlineStr"/>
      <c r="Q198" s="20" t="inlineStr"/>
      <c r="R198" s="21">
        <f>IF(O198="","",IF(Q198&lt;&gt;"",Q198-O198,TODAY()-O198))</f>
        <v/>
      </c>
      <c r="S198" s="17">
        <f>IF(R198="","",IF(R198&lt;=30,"0-30 Days",IF(R198&lt;=60,"31-60 Days",IF(R198&lt;=90,"61-90 Days",IF(R198&lt;=180,"91-180 Days","181+ Days")))))</f>
        <v/>
      </c>
      <c r="T198" s="16" t="inlineStr">
        <is>
          <t>Medium</t>
        </is>
      </c>
      <c r="U198" s="16" t="inlineStr">
        <is>
          <t>Pending</t>
        </is>
      </c>
      <c r="V198" s="16" t="inlineStr"/>
      <c r="W198" s="16" t="inlineStr"/>
      <c r="X198" s="16" t="inlineStr"/>
    </row>
    <row r="199">
      <c r="A199" s="16" t="inlineStr"/>
      <c r="B199" s="16" t="inlineStr"/>
      <c r="C199" s="17" t="inlineStr"/>
      <c r="D199" s="17" t="inlineStr"/>
      <c r="E199" s="16" t="inlineStr"/>
      <c r="F199" s="16" t="inlineStr"/>
      <c r="G199" s="16" t="inlineStr"/>
      <c r="H199" s="16" t="inlineStr"/>
      <c r="I199" s="16" t="inlineStr"/>
      <c r="J199" s="16" t="inlineStr">
        <is>
          <t>Open</t>
        </is>
      </c>
      <c r="K199" s="16" t="inlineStr">
        <is>
          <t>Medium</t>
        </is>
      </c>
      <c r="L199" s="16" t="inlineStr">
        <is>
          <t>Medium</t>
        </is>
      </c>
      <c r="M199" s="16" t="inlineStr">
        <is>
          <t>Possible</t>
        </is>
      </c>
      <c r="N199" s="21">
        <f>IF(OR(L199="",M199=""),"",IF(L199="Critical",4,IF(L199="High",3,IF(L199="Medium",2,1)))*IF(M199="Almost Certain",5,IF(M199="Likely",4,IF(M199="Possible",3,IF(M199="Unlikely",2,1)))))</f>
        <v/>
      </c>
      <c r="O199" s="20" t="inlineStr"/>
      <c r="P199" s="20" t="inlineStr"/>
      <c r="Q199" s="20" t="inlineStr"/>
      <c r="R199" s="21">
        <f>IF(O199="","",IF(Q199&lt;&gt;"",Q199-O199,TODAY()-O199))</f>
        <v/>
      </c>
      <c r="S199" s="17">
        <f>IF(R199="","",IF(R199&lt;=30,"0-30 Days",IF(R199&lt;=60,"31-60 Days",IF(R199&lt;=90,"61-90 Days",IF(R199&lt;=180,"91-180 Days","181+ Days")))))</f>
        <v/>
      </c>
      <c r="T199" s="16" t="inlineStr">
        <is>
          <t>Medium</t>
        </is>
      </c>
      <c r="U199" s="16" t="inlineStr">
        <is>
          <t>Pending</t>
        </is>
      </c>
      <c r="V199" s="16" t="inlineStr"/>
      <c r="W199" s="16" t="inlineStr"/>
      <c r="X199" s="16" t="inlineStr"/>
    </row>
    <row r="200">
      <c r="A200" s="16" t="inlineStr"/>
      <c r="B200" s="16" t="inlineStr"/>
      <c r="C200" s="17" t="inlineStr"/>
      <c r="D200" s="17" t="inlineStr"/>
      <c r="E200" s="16" t="inlineStr"/>
      <c r="F200" s="16" t="inlineStr"/>
      <c r="G200" s="16" t="inlineStr"/>
      <c r="H200" s="16" t="inlineStr"/>
      <c r="I200" s="16" t="inlineStr"/>
      <c r="J200" s="16" t="inlineStr">
        <is>
          <t>Open</t>
        </is>
      </c>
      <c r="K200" s="16" t="inlineStr">
        <is>
          <t>Medium</t>
        </is>
      </c>
      <c r="L200" s="16" t="inlineStr">
        <is>
          <t>Medium</t>
        </is>
      </c>
      <c r="M200" s="16" t="inlineStr">
        <is>
          <t>Possible</t>
        </is>
      </c>
      <c r="N200" s="21">
        <f>IF(OR(L200="",M200=""),"",IF(L200="Critical",4,IF(L200="High",3,IF(L200="Medium",2,1)))*IF(M200="Almost Certain",5,IF(M200="Likely",4,IF(M200="Possible",3,IF(M200="Unlikely",2,1)))))</f>
        <v/>
      </c>
      <c r="O200" s="20" t="inlineStr"/>
      <c r="P200" s="20" t="inlineStr"/>
      <c r="Q200" s="20" t="inlineStr"/>
      <c r="R200" s="21">
        <f>IF(O200="","",IF(Q200&lt;&gt;"",Q200-O200,TODAY()-O200))</f>
        <v/>
      </c>
      <c r="S200" s="17">
        <f>IF(R200="","",IF(R200&lt;=30,"0-30 Days",IF(R200&lt;=60,"31-60 Days",IF(R200&lt;=90,"61-90 Days",IF(R200&lt;=180,"91-180 Days","181+ Days")))))</f>
        <v/>
      </c>
      <c r="T200" s="16" t="inlineStr">
        <is>
          <t>Medium</t>
        </is>
      </c>
      <c r="U200" s="16" t="inlineStr">
        <is>
          <t>Pending</t>
        </is>
      </c>
      <c r="V200" s="16" t="inlineStr"/>
      <c r="W200" s="16" t="inlineStr"/>
      <c r="X200" s="16" t="inlineStr"/>
    </row>
    <row r="201">
      <c r="A201" s="16" t="inlineStr"/>
      <c r="B201" s="16" t="inlineStr"/>
      <c r="C201" s="17" t="inlineStr"/>
      <c r="D201" s="17" t="inlineStr"/>
      <c r="E201" s="16" t="inlineStr"/>
      <c r="F201" s="16" t="inlineStr"/>
      <c r="G201" s="16" t="inlineStr"/>
      <c r="H201" s="16" t="inlineStr"/>
      <c r="I201" s="16" t="inlineStr"/>
      <c r="J201" s="16" t="inlineStr">
        <is>
          <t>Open</t>
        </is>
      </c>
      <c r="K201" s="16" t="inlineStr">
        <is>
          <t>Medium</t>
        </is>
      </c>
      <c r="L201" s="16" t="inlineStr">
        <is>
          <t>Medium</t>
        </is>
      </c>
      <c r="M201" s="16" t="inlineStr">
        <is>
          <t>Possible</t>
        </is>
      </c>
      <c r="N201" s="21">
        <f>IF(OR(L201="",M201=""),"",IF(L201="Critical",4,IF(L201="High",3,IF(L201="Medium",2,1)))*IF(M201="Almost Certain",5,IF(M201="Likely",4,IF(M201="Possible",3,IF(M201="Unlikely",2,1)))))</f>
        <v/>
      </c>
      <c r="O201" s="20" t="inlineStr"/>
      <c r="P201" s="20" t="inlineStr"/>
      <c r="Q201" s="20" t="inlineStr"/>
      <c r="R201" s="21">
        <f>IF(O201="","",IF(Q201&lt;&gt;"",Q201-O201,TODAY()-O201))</f>
        <v/>
      </c>
      <c r="S201" s="17">
        <f>IF(R201="","",IF(R201&lt;=30,"0-30 Days",IF(R201&lt;=60,"31-60 Days",IF(R201&lt;=90,"61-90 Days",IF(R201&lt;=180,"91-180 Days","181+ Days")))))</f>
        <v/>
      </c>
      <c r="T201" s="16" t="inlineStr">
        <is>
          <t>Medium</t>
        </is>
      </c>
      <c r="U201" s="16" t="inlineStr">
        <is>
          <t>Pending</t>
        </is>
      </c>
      <c r="V201" s="16" t="inlineStr"/>
      <c r="W201" s="16" t="inlineStr"/>
      <c r="X201" s="16" t="inlineStr"/>
    </row>
    <row r="202">
      <c r="A202" s="16" t="inlineStr"/>
      <c r="B202" s="16" t="inlineStr"/>
      <c r="C202" s="17" t="inlineStr"/>
      <c r="D202" s="17" t="inlineStr"/>
      <c r="E202" s="16" t="inlineStr"/>
      <c r="F202" s="16" t="inlineStr"/>
      <c r="G202" s="16" t="inlineStr"/>
      <c r="H202" s="16" t="inlineStr"/>
      <c r="I202" s="16" t="inlineStr"/>
      <c r="J202" s="16" t="inlineStr">
        <is>
          <t>Open</t>
        </is>
      </c>
      <c r="K202" s="16" t="inlineStr">
        <is>
          <t>Medium</t>
        </is>
      </c>
      <c r="L202" s="16" t="inlineStr">
        <is>
          <t>Medium</t>
        </is>
      </c>
      <c r="M202" s="16" t="inlineStr">
        <is>
          <t>Possible</t>
        </is>
      </c>
      <c r="N202" s="21">
        <f>IF(OR(L202="",M202=""),"",IF(L202="Critical",4,IF(L202="High",3,IF(L202="Medium",2,1)))*IF(M202="Almost Certain",5,IF(M202="Likely",4,IF(M202="Possible",3,IF(M202="Unlikely",2,1)))))</f>
        <v/>
      </c>
      <c r="O202" s="20" t="inlineStr"/>
      <c r="P202" s="20" t="inlineStr"/>
      <c r="Q202" s="20" t="inlineStr"/>
      <c r="R202" s="21">
        <f>IF(O202="","",IF(Q202&lt;&gt;"",Q202-O202,TODAY()-O202))</f>
        <v/>
      </c>
      <c r="S202" s="17">
        <f>IF(R202="","",IF(R202&lt;=30,"0-30 Days",IF(R202&lt;=60,"31-60 Days",IF(R202&lt;=90,"61-90 Days",IF(R202&lt;=180,"91-180 Days","181+ Days")))))</f>
        <v/>
      </c>
      <c r="T202" s="16" t="inlineStr">
        <is>
          <t>Medium</t>
        </is>
      </c>
      <c r="U202" s="16" t="inlineStr">
        <is>
          <t>Pending</t>
        </is>
      </c>
      <c r="V202" s="16" t="inlineStr"/>
      <c r="W202" s="16" t="inlineStr"/>
      <c r="X202" s="16" t="inlineStr"/>
    </row>
    <row r="203">
      <c r="A203" s="16" t="inlineStr"/>
      <c r="B203" s="16" t="inlineStr"/>
      <c r="C203" s="17" t="inlineStr"/>
      <c r="D203" s="17" t="inlineStr"/>
      <c r="E203" s="16" t="inlineStr"/>
      <c r="F203" s="16" t="inlineStr"/>
      <c r="G203" s="16" t="inlineStr"/>
      <c r="H203" s="16" t="inlineStr"/>
      <c r="I203" s="16" t="inlineStr"/>
      <c r="J203" s="16" t="inlineStr">
        <is>
          <t>Open</t>
        </is>
      </c>
      <c r="K203" s="16" t="inlineStr">
        <is>
          <t>Medium</t>
        </is>
      </c>
      <c r="L203" s="16" t="inlineStr">
        <is>
          <t>Medium</t>
        </is>
      </c>
      <c r="M203" s="16" t="inlineStr">
        <is>
          <t>Possible</t>
        </is>
      </c>
      <c r="N203" s="21">
        <f>IF(OR(L203="",M203=""),"",IF(L203="Critical",4,IF(L203="High",3,IF(L203="Medium",2,1)))*IF(M203="Almost Certain",5,IF(M203="Likely",4,IF(M203="Possible",3,IF(M203="Unlikely",2,1)))))</f>
        <v/>
      </c>
      <c r="O203" s="20" t="inlineStr"/>
      <c r="P203" s="20" t="inlineStr"/>
      <c r="Q203" s="20" t="inlineStr"/>
      <c r="R203" s="21">
        <f>IF(O203="","",IF(Q203&lt;&gt;"",Q203-O203,TODAY()-O203))</f>
        <v/>
      </c>
      <c r="S203" s="17">
        <f>IF(R203="","",IF(R203&lt;=30,"0-30 Days",IF(R203&lt;=60,"31-60 Days",IF(R203&lt;=90,"61-90 Days",IF(R203&lt;=180,"91-180 Days","181+ Days")))))</f>
        <v/>
      </c>
      <c r="T203" s="16" t="inlineStr">
        <is>
          <t>Medium</t>
        </is>
      </c>
      <c r="U203" s="16" t="inlineStr">
        <is>
          <t>Pending</t>
        </is>
      </c>
      <c r="V203" s="16" t="inlineStr"/>
      <c r="W203" s="16" t="inlineStr"/>
      <c r="X203" s="16" t="inlineStr"/>
    </row>
    <row r="204">
      <c r="A204" s="16" t="inlineStr"/>
      <c r="B204" s="16" t="inlineStr"/>
      <c r="C204" s="17" t="inlineStr"/>
      <c r="D204" s="17" t="inlineStr"/>
      <c r="E204" s="16" t="inlineStr"/>
      <c r="F204" s="16" t="inlineStr"/>
      <c r="G204" s="16" t="inlineStr"/>
      <c r="H204" s="16" t="inlineStr"/>
      <c r="I204" s="16" t="inlineStr"/>
      <c r="J204" s="16" t="inlineStr">
        <is>
          <t>Open</t>
        </is>
      </c>
      <c r="K204" s="16" t="inlineStr">
        <is>
          <t>Medium</t>
        </is>
      </c>
      <c r="L204" s="16" t="inlineStr">
        <is>
          <t>Medium</t>
        </is>
      </c>
      <c r="M204" s="16" t="inlineStr">
        <is>
          <t>Possible</t>
        </is>
      </c>
      <c r="N204" s="21">
        <f>IF(OR(L204="",M204=""),"",IF(L204="Critical",4,IF(L204="High",3,IF(L204="Medium",2,1)))*IF(M204="Almost Certain",5,IF(M204="Likely",4,IF(M204="Possible",3,IF(M204="Unlikely",2,1)))))</f>
        <v/>
      </c>
      <c r="O204" s="20" t="inlineStr"/>
      <c r="P204" s="20" t="inlineStr"/>
      <c r="Q204" s="20" t="inlineStr"/>
      <c r="R204" s="21">
        <f>IF(O204="","",IF(Q204&lt;&gt;"",Q204-O204,TODAY()-O204))</f>
        <v/>
      </c>
      <c r="S204" s="17">
        <f>IF(R204="","",IF(R204&lt;=30,"0-30 Days",IF(R204&lt;=60,"31-60 Days",IF(R204&lt;=90,"61-90 Days",IF(R204&lt;=180,"91-180 Days","181+ Days")))))</f>
        <v/>
      </c>
      <c r="T204" s="16" t="inlineStr">
        <is>
          <t>Medium</t>
        </is>
      </c>
      <c r="U204" s="16" t="inlineStr">
        <is>
          <t>Pending</t>
        </is>
      </c>
      <c r="V204" s="16" t="inlineStr"/>
      <c r="W204" s="16" t="inlineStr"/>
      <c r="X204" s="16" t="inlineStr"/>
    </row>
    <row r="205">
      <c r="A205" s="16" t="inlineStr"/>
      <c r="B205" s="16" t="inlineStr"/>
      <c r="C205" s="17" t="inlineStr"/>
      <c r="D205" s="17" t="inlineStr"/>
      <c r="E205" s="16" t="inlineStr"/>
      <c r="F205" s="16" t="inlineStr"/>
      <c r="G205" s="16" t="inlineStr"/>
      <c r="H205" s="16" t="inlineStr"/>
      <c r="I205" s="16" t="inlineStr"/>
      <c r="J205" s="16" t="inlineStr">
        <is>
          <t>Open</t>
        </is>
      </c>
      <c r="K205" s="16" t="inlineStr">
        <is>
          <t>Medium</t>
        </is>
      </c>
      <c r="L205" s="16" t="inlineStr">
        <is>
          <t>Medium</t>
        </is>
      </c>
      <c r="M205" s="16" t="inlineStr">
        <is>
          <t>Possible</t>
        </is>
      </c>
      <c r="N205" s="21">
        <f>IF(OR(L205="",M205=""),"",IF(L205="Critical",4,IF(L205="High",3,IF(L205="Medium",2,1)))*IF(M205="Almost Certain",5,IF(M205="Likely",4,IF(M205="Possible",3,IF(M205="Unlikely",2,1)))))</f>
        <v/>
      </c>
      <c r="O205" s="20" t="inlineStr"/>
      <c r="P205" s="20" t="inlineStr"/>
      <c r="Q205" s="20" t="inlineStr"/>
      <c r="R205" s="21">
        <f>IF(O205="","",IF(Q205&lt;&gt;"",Q205-O205,TODAY()-O205))</f>
        <v/>
      </c>
      <c r="S205" s="17">
        <f>IF(R205="","",IF(R205&lt;=30,"0-30 Days",IF(R205&lt;=60,"31-60 Days",IF(R205&lt;=90,"61-90 Days",IF(R205&lt;=180,"91-180 Days","181+ Days")))))</f>
        <v/>
      </c>
      <c r="T205" s="16" t="inlineStr">
        <is>
          <t>Medium</t>
        </is>
      </c>
      <c r="U205" s="16" t="inlineStr">
        <is>
          <t>Pending</t>
        </is>
      </c>
      <c r="V205" s="16" t="inlineStr"/>
      <c r="W205" s="16" t="inlineStr"/>
      <c r="X205" s="16" t="inlineStr"/>
    </row>
    <row r="206">
      <c r="A206" s="16" t="inlineStr"/>
      <c r="B206" s="16" t="inlineStr"/>
      <c r="C206" s="17" t="inlineStr"/>
      <c r="D206" s="17" t="inlineStr"/>
      <c r="E206" s="16" t="inlineStr"/>
      <c r="F206" s="16" t="inlineStr"/>
      <c r="G206" s="16" t="inlineStr"/>
      <c r="H206" s="16" t="inlineStr"/>
      <c r="I206" s="16" t="inlineStr"/>
      <c r="J206" s="16" t="inlineStr">
        <is>
          <t>Open</t>
        </is>
      </c>
      <c r="K206" s="16" t="inlineStr">
        <is>
          <t>Medium</t>
        </is>
      </c>
      <c r="L206" s="16" t="inlineStr">
        <is>
          <t>Medium</t>
        </is>
      </c>
      <c r="M206" s="16" t="inlineStr">
        <is>
          <t>Possible</t>
        </is>
      </c>
      <c r="N206" s="21">
        <f>IF(OR(L206="",M206=""),"",IF(L206="Critical",4,IF(L206="High",3,IF(L206="Medium",2,1)))*IF(M206="Almost Certain",5,IF(M206="Likely",4,IF(M206="Possible",3,IF(M206="Unlikely",2,1)))))</f>
        <v/>
      </c>
      <c r="O206" s="20" t="inlineStr"/>
      <c r="P206" s="20" t="inlineStr"/>
      <c r="Q206" s="20" t="inlineStr"/>
      <c r="R206" s="21">
        <f>IF(O206="","",IF(Q206&lt;&gt;"",Q206-O206,TODAY()-O206))</f>
        <v/>
      </c>
      <c r="S206" s="17">
        <f>IF(R206="","",IF(R206&lt;=30,"0-30 Days",IF(R206&lt;=60,"31-60 Days",IF(R206&lt;=90,"61-90 Days",IF(R206&lt;=180,"91-180 Days","181+ Days")))))</f>
        <v/>
      </c>
      <c r="T206" s="16" t="inlineStr">
        <is>
          <t>Medium</t>
        </is>
      </c>
      <c r="U206" s="16" t="inlineStr">
        <is>
          <t>Pending</t>
        </is>
      </c>
      <c r="V206" s="16" t="inlineStr"/>
      <c r="W206" s="16" t="inlineStr"/>
      <c r="X206" s="16" t="inlineStr"/>
    </row>
    <row r="207">
      <c r="A207" s="16" t="inlineStr"/>
      <c r="B207" s="16" t="inlineStr"/>
      <c r="C207" s="17" t="inlineStr"/>
      <c r="D207" s="17" t="inlineStr"/>
      <c r="E207" s="16" t="inlineStr"/>
      <c r="F207" s="16" t="inlineStr"/>
      <c r="G207" s="16" t="inlineStr"/>
      <c r="H207" s="16" t="inlineStr"/>
      <c r="I207" s="16" t="inlineStr"/>
      <c r="J207" s="16" t="inlineStr">
        <is>
          <t>Open</t>
        </is>
      </c>
      <c r="K207" s="16" t="inlineStr">
        <is>
          <t>Medium</t>
        </is>
      </c>
      <c r="L207" s="16" t="inlineStr">
        <is>
          <t>Medium</t>
        </is>
      </c>
      <c r="M207" s="16" t="inlineStr">
        <is>
          <t>Possible</t>
        </is>
      </c>
      <c r="N207" s="21">
        <f>IF(OR(L207="",M207=""),"",IF(L207="Critical",4,IF(L207="High",3,IF(L207="Medium",2,1)))*IF(M207="Almost Certain",5,IF(M207="Likely",4,IF(M207="Possible",3,IF(M207="Unlikely",2,1)))))</f>
        <v/>
      </c>
      <c r="O207" s="20" t="inlineStr"/>
      <c r="P207" s="20" t="inlineStr"/>
      <c r="Q207" s="20" t="inlineStr"/>
      <c r="R207" s="21">
        <f>IF(O207="","",IF(Q207&lt;&gt;"",Q207-O207,TODAY()-O207))</f>
        <v/>
      </c>
      <c r="S207" s="17">
        <f>IF(R207="","",IF(R207&lt;=30,"0-30 Days",IF(R207&lt;=60,"31-60 Days",IF(R207&lt;=90,"61-90 Days",IF(R207&lt;=180,"91-180 Days","181+ Days")))))</f>
        <v/>
      </c>
      <c r="T207" s="16" t="inlineStr">
        <is>
          <t>Medium</t>
        </is>
      </c>
      <c r="U207" s="16" t="inlineStr">
        <is>
          <t>Pending</t>
        </is>
      </c>
      <c r="V207" s="16" t="inlineStr"/>
      <c r="W207" s="16" t="inlineStr"/>
      <c r="X207" s="16" t="inlineStr"/>
    </row>
    <row r="208">
      <c r="A208" s="16" t="inlineStr"/>
      <c r="B208" s="16" t="inlineStr"/>
      <c r="C208" s="17" t="inlineStr"/>
      <c r="D208" s="17" t="inlineStr"/>
      <c r="E208" s="16" t="inlineStr"/>
      <c r="F208" s="16" t="inlineStr"/>
      <c r="G208" s="16" t="inlineStr"/>
      <c r="H208" s="16" t="inlineStr"/>
      <c r="I208" s="16" t="inlineStr"/>
      <c r="J208" s="16" t="inlineStr">
        <is>
          <t>Open</t>
        </is>
      </c>
      <c r="K208" s="16" t="inlineStr">
        <is>
          <t>Medium</t>
        </is>
      </c>
      <c r="L208" s="16" t="inlineStr">
        <is>
          <t>Medium</t>
        </is>
      </c>
      <c r="M208" s="16" t="inlineStr">
        <is>
          <t>Possible</t>
        </is>
      </c>
      <c r="N208" s="21">
        <f>IF(OR(L208="",M208=""),"",IF(L208="Critical",4,IF(L208="High",3,IF(L208="Medium",2,1)))*IF(M208="Almost Certain",5,IF(M208="Likely",4,IF(M208="Possible",3,IF(M208="Unlikely",2,1)))))</f>
        <v/>
      </c>
      <c r="O208" s="20" t="inlineStr"/>
      <c r="P208" s="20" t="inlineStr"/>
      <c r="Q208" s="20" t="inlineStr"/>
      <c r="R208" s="21">
        <f>IF(O208="","",IF(Q208&lt;&gt;"",Q208-O208,TODAY()-O208))</f>
        <v/>
      </c>
      <c r="S208" s="17">
        <f>IF(R208="","",IF(R208&lt;=30,"0-30 Days",IF(R208&lt;=60,"31-60 Days",IF(R208&lt;=90,"61-90 Days",IF(R208&lt;=180,"91-180 Days","181+ Days")))))</f>
        <v/>
      </c>
      <c r="T208" s="16" t="inlineStr">
        <is>
          <t>Medium</t>
        </is>
      </c>
      <c r="U208" s="16" t="inlineStr">
        <is>
          <t>Pending</t>
        </is>
      </c>
      <c r="V208" s="16" t="inlineStr"/>
      <c r="W208" s="16" t="inlineStr"/>
      <c r="X208" s="16" t="inlineStr"/>
    </row>
    <row r="209">
      <c r="A209" s="16" t="inlineStr"/>
      <c r="B209" s="16" t="inlineStr"/>
      <c r="C209" s="17" t="inlineStr"/>
      <c r="D209" s="17" t="inlineStr"/>
      <c r="E209" s="16" t="inlineStr"/>
      <c r="F209" s="16" t="inlineStr"/>
      <c r="G209" s="16" t="inlineStr"/>
      <c r="H209" s="16" t="inlineStr"/>
      <c r="I209" s="16" t="inlineStr"/>
      <c r="J209" s="16" t="inlineStr">
        <is>
          <t>Open</t>
        </is>
      </c>
      <c r="K209" s="16" t="inlineStr">
        <is>
          <t>Medium</t>
        </is>
      </c>
      <c r="L209" s="16" t="inlineStr">
        <is>
          <t>Medium</t>
        </is>
      </c>
      <c r="M209" s="16" t="inlineStr">
        <is>
          <t>Possible</t>
        </is>
      </c>
      <c r="N209" s="21">
        <f>IF(OR(L209="",M209=""),"",IF(L209="Critical",4,IF(L209="High",3,IF(L209="Medium",2,1)))*IF(M209="Almost Certain",5,IF(M209="Likely",4,IF(M209="Possible",3,IF(M209="Unlikely",2,1)))))</f>
        <v/>
      </c>
      <c r="O209" s="20" t="inlineStr"/>
      <c r="P209" s="20" t="inlineStr"/>
      <c r="Q209" s="20" t="inlineStr"/>
      <c r="R209" s="21">
        <f>IF(O209="","",IF(Q209&lt;&gt;"",Q209-O209,TODAY()-O209))</f>
        <v/>
      </c>
      <c r="S209" s="17">
        <f>IF(R209="","",IF(R209&lt;=30,"0-30 Days",IF(R209&lt;=60,"31-60 Days",IF(R209&lt;=90,"61-90 Days",IF(R209&lt;=180,"91-180 Days","181+ Days")))))</f>
        <v/>
      </c>
      <c r="T209" s="16" t="inlineStr">
        <is>
          <t>Medium</t>
        </is>
      </c>
      <c r="U209" s="16" t="inlineStr">
        <is>
          <t>Pending</t>
        </is>
      </c>
      <c r="V209" s="16" t="inlineStr"/>
      <c r="W209" s="16" t="inlineStr"/>
      <c r="X209" s="16" t="inlineStr"/>
    </row>
    <row r="210">
      <c r="A210" s="16" t="inlineStr"/>
      <c r="B210" s="16" t="inlineStr"/>
      <c r="C210" s="17" t="inlineStr"/>
      <c r="D210" s="17" t="inlineStr"/>
      <c r="E210" s="16" t="inlineStr"/>
      <c r="F210" s="16" t="inlineStr"/>
      <c r="G210" s="16" t="inlineStr"/>
      <c r="H210" s="16" t="inlineStr"/>
      <c r="I210" s="16" t="inlineStr"/>
      <c r="J210" s="16" t="inlineStr">
        <is>
          <t>Open</t>
        </is>
      </c>
      <c r="K210" s="16" t="inlineStr">
        <is>
          <t>Medium</t>
        </is>
      </c>
      <c r="L210" s="16" t="inlineStr">
        <is>
          <t>Medium</t>
        </is>
      </c>
      <c r="M210" s="16" t="inlineStr">
        <is>
          <t>Possible</t>
        </is>
      </c>
      <c r="N210" s="21">
        <f>IF(OR(L210="",M210=""),"",IF(L210="Critical",4,IF(L210="High",3,IF(L210="Medium",2,1)))*IF(M210="Almost Certain",5,IF(M210="Likely",4,IF(M210="Possible",3,IF(M210="Unlikely",2,1)))))</f>
        <v/>
      </c>
      <c r="O210" s="20" t="inlineStr"/>
      <c r="P210" s="20" t="inlineStr"/>
      <c r="Q210" s="20" t="inlineStr"/>
      <c r="R210" s="21">
        <f>IF(O210="","",IF(Q210&lt;&gt;"",Q210-O210,TODAY()-O210))</f>
        <v/>
      </c>
      <c r="S210" s="17">
        <f>IF(R210="","",IF(R210&lt;=30,"0-30 Days",IF(R210&lt;=60,"31-60 Days",IF(R210&lt;=90,"61-90 Days",IF(R210&lt;=180,"91-180 Days","181+ Days")))))</f>
        <v/>
      </c>
      <c r="T210" s="16" t="inlineStr">
        <is>
          <t>Medium</t>
        </is>
      </c>
      <c r="U210" s="16" t="inlineStr">
        <is>
          <t>Pending</t>
        </is>
      </c>
      <c r="V210" s="16" t="inlineStr"/>
      <c r="W210" s="16" t="inlineStr"/>
      <c r="X210" s="16" t="inlineStr"/>
    </row>
    <row r="211">
      <c r="A211" s="16" t="inlineStr"/>
      <c r="B211" s="16" t="inlineStr"/>
      <c r="C211" s="17" t="inlineStr"/>
      <c r="D211" s="17" t="inlineStr"/>
      <c r="E211" s="16" t="inlineStr"/>
      <c r="F211" s="16" t="inlineStr"/>
      <c r="G211" s="16" t="inlineStr"/>
      <c r="H211" s="16" t="inlineStr"/>
      <c r="I211" s="16" t="inlineStr"/>
      <c r="J211" s="16" t="inlineStr">
        <is>
          <t>Open</t>
        </is>
      </c>
      <c r="K211" s="16" t="inlineStr">
        <is>
          <t>Medium</t>
        </is>
      </c>
      <c r="L211" s="16" t="inlineStr">
        <is>
          <t>Medium</t>
        </is>
      </c>
      <c r="M211" s="16" t="inlineStr">
        <is>
          <t>Possible</t>
        </is>
      </c>
      <c r="N211" s="21">
        <f>IF(OR(L211="",M211=""),"",IF(L211="Critical",4,IF(L211="High",3,IF(L211="Medium",2,1)))*IF(M211="Almost Certain",5,IF(M211="Likely",4,IF(M211="Possible",3,IF(M211="Unlikely",2,1)))))</f>
        <v/>
      </c>
      <c r="O211" s="20" t="inlineStr"/>
      <c r="P211" s="20" t="inlineStr"/>
      <c r="Q211" s="20" t="inlineStr"/>
      <c r="R211" s="21">
        <f>IF(O211="","",IF(Q211&lt;&gt;"",Q211-O211,TODAY()-O211))</f>
        <v/>
      </c>
      <c r="S211" s="17">
        <f>IF(R211="","",IF(R211&lt;=30,"0-30 Days",IF(R211&lt;=60,"31-60 Days",IF(R211&lt;=90,"61-90 Days",IF(R211&lt;=180,"91-180 Days","181+ Days")))))</f>
        <v/>
      </c>
      <c r="T211" s="16" t="inlineStr">
        <is>
          <t>Medium</t>
        </is>
      </c>
      <c r="U211" s="16" t="inlineStr">
        <is>
          <t>Pending</t>
        </is>
      </c>
      <c r="V211" s="16" t="inlineStr"/>
      <c r="W211" s="16" t="inlineStr"/>
      <c r="X211" s="16" t="inlineStr"/>
    </row>
    <row r="212">
      <c r="A212" s="16" t="inlineStr"/>
      <c r="B212" s="16" t="inlineStr"/>
      <c r="C212" s="17" t="inlineStr"/>
      <c r="D212" s="17" t="inlineStr"/>
      <c r="E212" s="16" t="inlineStr"/>
      <c r="F212" s="16" t="inlineStr"/>
      <c r="G212" s="16" t="inlineStr"/>
      <c r="H212" s="16" t="inlineStr"/>
      <c r="I212" s="16" t="inlineStr"/>
      <c r="J212" s="16" t="inlineStr">
        <is>
          <t>Open</t>
        </is>
      </c>
      <c r="K212" s="16" t="inlineStr">
        <is>
          <t>Medium</t>
        </is>
      </c>
      <c r="L212" s="16" t="inlineStr">
        <is>
          <t>Medium</t>
        </is>
      </c>
      <c r="M212" s="16" t="inlineStr">
        <is>
          <t>Possible</t>
        </is>
      </c>
      <c r="N212" s="21">
        <f>IF(OR(L212="",M212=""),"",IF(L212="Critical",4,IF(L212="High",3,IF(L212="Medium",2,1)))*IF(M212="Almost Certain",5,IF(M212="Likely",4,IF(M212="Possible",3,IF(M212="Unlikely",2,1)))))</f>
        <v/>
      </c>
      <c r="O212" s="20" t="inlineStr"/>
      <c r="P212" s="20" t="inlineStr"/>
      <c r="Q212" s="20" t="inlineStr"/>
      <c r="R212" s="21">
        <f>IF(O212="","",IF(Q212&lt;&gt;"",Q212-O212,TODAY()-O212))</f>
        <v/>
      </c>
      <c r="S212" s="17">
        <f>IF(R212="","",IF(R212&lt;=30,"0-30 Days",IF(R212&lt;=60,"31-60 Days",IF(R212&lt;=90,"61-90 Days",IF(R212&lt;=180,"91-180 Days","181+ Days")))))</f>
        <v/>
      </c>
      <c r="T212" s="16" t="inlineStr">
        <is>
          <t>Medium</t>
        </is>
      </c>
      <c r="U212" s="16" t="inlineStr">
        <is>
          <t>Pending</t>
        </is>
      </c>
      <c r="V212" s="16" t="inlineStr"/>
      <c r="W212" s="16" t="inlineStr"/>
      <c r="X212" s="16" t="inlineStr"/>
    </row>
    <row r="213">
      <c r="A213" s="16" t="inlineStr"/>
      <c r="B213" s="16" t="inlineStr"/>
      <c r="C213" s="17" t="inlineStr"/>
      <c r="D213" s="17" t="inlineStr"/>
      <c r="E213" s="16" t="inlineStr"/>
      <c r="F213" s="16" t="inlineStr"/>
      <c r="G213" s="16" t="inlineStr"/>
      <c r="H213" s="16" t="inlineStr"/>
      <c r="I213" s="16" t="inlineStr"/>
      <c r="J213" s="16" t="inlineStr">
        <is>
          <t>Open</t>
        </is>
      </c>
      <c r="K213" s="16" t="inlineStr">
        <is>
          <t>Medium</t>
        </is>
      </c>
      <c r="L213" s="16" t="inlineStr">
        <is>
          <t>Medium</t>
        </is>
      </c>
      <c r="M213" s="16" t="inlineStr">
        <is>
          <t>Possible</t>
        </is>
      </c>
      <c r="N213" s="21">
        <f>IF(OR(L213="",M213=""),"",IF(L213="Critical",4,IF(L213="High",3,IF(L213="Medium",2,1)))*IF(M213="Almost Certain",5,IF(M213="Likely",4,IF(M213="Possible",3,IF(M213="Unlikely",2,1)))))</f>
        <v/>
      </c>
      <c r="O213" s="20" t="inlineStr"/>
      <c r="P213" s="20" t="inlineStr"/>
      <c r="Q213" s="20" t="inlineStr"/>
      <c r="R213" s="21">
        <f>IF(O213="","",IF(Q213&lt;&gt;"",Q213-O213,TODAY()-O213))</f>
        <v/>
      </c>
      <c r="S213" s="17">
        <f>IF(R213="","",IF(R213&lt;=30,"0-30 Days",IF(R213&lt;=60,"31-60 Days",IF(R213&lt;=90,"61-90 Days",IF(R213&lt;=180,"91-180 Days","181+ Days")))))</f>
        <v/>
      </c>
      <c r="T213" s="16" t="inlineStr">
        <is>
          <t>Medium</t>
        </is>
      </c>
      <c r="U213" s="16" t="inlineStr">
        <is>
          <t>Pending</t>
        </is>
      </c>
      <c r="V213" s="16" t="inlineStr"/>
      <c r="W213" s="16" t="inlineStr"/>
      <c r="X213" s="16" t="inlineStr"/>
    </row>
    <row r="214">
      <c r="A214" s="16" t="inlineStr"/>
      <c r="B214" s="16" t="inlineStr"/>
      <c r="C214" s="17" t="inlineStr"/>
      <c r="D214" s="17" t="inlineStr"/>
      <c r="E214" s="16" t="inlineStr"/>
      <c r="F214" s="16" t="inlineStr"/>
      <c r="G214" s="16" t="inlineStr"/>
      <c r="H214" s="16" t="inlineStr"/>
      <c r="I214" s="16" t="inlineStr"/>
      <c r="J214" s="16" t="inlineStr">
        <is>
          <t>Open</t>
        </is>
      </c>
      <c r="K214" s="16" t="inlineStr">
        <is>
          <t>Medium</t>
        </is>
      </c>
      <c r="L214" s="16" t="inlineStr">
        <is>
          <t>Medium</t>
        </is>
      </c>
      <c r="M214" s="16" t="inlineStr">
        <is>
          <t>Possible</t>
        </is>
      </c>
      <c r="N214" s="21">
        <f>IF(OR(L214="",M214=""),"",IF(L214="Critical",4,IF(L214="High",3,IF(L214="Medium",2,1)))*IF(M214="Almost Certain",5,IF(M214="Likely",4,IF(M214="Possible",3,IF(M214="Unlikely",2,1)))))</f>
        <v/>
      </c>
      <c r="O214" s="20" t="inlineStr"/>
      <c r="P214" s="20" t="inlineStr"/>
      <c r="Q214" s="20" t="inlineStr"/>
      <c r="R214" s="21">
        <f>IF(O214="","",IF(Q214&lt;&gt;"",Q214-O214,TODAY()-O214))</f>
        <v/>
      </c>
      <c r="S214" s="17">
        <f>IF(R214="","",IF(R214&lt;=30,"0-30 Days",IF(R214&lt;=60,"31-60 Days",IF(R214&lt;=90,"61-90 Days",IF(R214&lt;=180,"91-180 Days","181+ Days")))))</f>
        <v/>
      </c>
      <c r="T214" s="16" t="inlineStr">
        <is>
          <t>Medium</t>
        </is>
      </c>
      <c r="U214" s="16" t="inlineStr">
        <is>
          <t>Pending</t>
        </is>
      </c>
      <c r="V214" s="16" t="inlineStr"/>
      <c r="W214" s="16" t="inlineStr"/>
      <c r="X214" s="16" t="inlineStr"/>
    </row>
    <row r="215">
      <c r="A215" s="16" t="inlineStr"/>
      <c r="B215" s="16" t="inlineStr"/>
      <c r="C215" s="17" t="inlineStr"/>
      <c r="D215" s="17" t="inlineStr"/>
      <c r="E215" s="16" t="inlineStr"/>
      <c r="F215" s="16" t="inlineStr"/>
      <c r="G215" s="16" t="inlineStr"/>
      <c r="H215" s="16" t="inlineStr"/>
      <c r="I215" s="16" t="inlineStr"/>
      <c r="J215" s="16" t="inlineStr">
        <is>
          <t>Open</t>
        </is>
      </c>
      <c r="K215" s="16" t="inlineStr">
        <is>
          <t>Medium</t>
        </is>
      </c>
      <c r="L215" s="16" t="inlineStr">
        <is>
          <t>Medium</t>
        </is>
      </c>
      <c r="M215" s="16" t="inlineStr">
        <is>
          <t>Possible</t>
        </is>
      </c>
      <c r="N215" s="21">
        <f>IF(OR(L215="",M215=""),"",IF(L215="Critical",4,IF(L215="High",3,IF(L215="Medium",2,1)))*IF(M215="Almost Certain",5,IF(M215="Likely",4,IF(M215="Possible",3,IF(M215="Unlikely",2,1)))))</f>
        <v/>
      </c>
      <c r="O215" s="20" t="inlineStr"/>
      <c r="P215" s="20" t="inlineStr"/>
      <c r="Q215" s="20" t="inlineStr"/>
      <c r="R215" s="21">
        <f>IF(O215="","",IF(Q215&lt;&gt;"",Q215-O215,TODAY()-O215))</f>
        <v/>
      </c>
      <c r="S215" s="17">
        <f>IF(R215="","",IF(R215&lt;=30,"0-30 Days",IF(R215&lt;=60,"31-60 Days",IF(R215&lt;=90,"61-90 Days",IF(R215&lt;=180,"91-180 Days","181+ Days")))))</f>
        <v/>
      </c>
      <c r="T215" s="16" t="inlineStr">
        <is>
          <t>Medium</t>
        </is>
      </c>
      <c r="U215" s="16" t="inlineStr">
        <is>
          <t>Pending</t>
        </is>
      </c>
      <c r="V215" s="16" t="inlineStr"/>
      <c r="W215" s="16" t="inlineStr"/>
      <c r="X215" s="16" t="inlineStr"/>
    </row>
    <row r="216">
      <c r="A216" s="16" t="inlineStr"/>
      <c r="B216" s="16" t="inlineStr"/>
      <c r="C216" s="17" t="inlineStr"/>
      <c r="D216" s="17" t="inlineStr"/>
      <c r="E216" s="16" t="inlineStr"/>
      <c r="F216" s="16" t="inlineStr"/>
      <c r="G216" s="16" t="inlineStr"/>
      <c r="H216" s="16" t="inlineStr"/>
      <c r="I216" s="16" t="inlineStr"/>
      <c r="J216" s="16" t="inlineStr">
        <is>
          <t>Open</t>
        </is>
      </c>
      <c r="K216" s="16" t="inlineStr">
        <is>
          <t>Medium</t>
        </is>
      </c>
      <c r="L216" s="16" t="inlineStr">
        <is>
          <t>Medium</t>
        </is>
      </c>
      <c r="M216" s="16" t="inlineStr">
        <is>
          <t>Possible</t>
        </is>
      </c>
      <c r="N216" s="21">
        <f>IF(OR(L216="",M216=""),"",IF(L216="Critical",4,IF(L216="High",3,IF(L216="Medium",2,1)))*IF(M216="Almost Certain",5,IF(M216="Likely",4,IF(M216="Possible",3,IF(M216="Unlikely",2,1)))))</f>
        <v/>
      </c>
      <c r="O216" s="20" t="inlineStr"/>
      <c r="P216" s="20" t="inlineStr"/>
      <c r="Q216" s="20" t="inlineStr"/>
      <c r="R216" s="21">
        <f>IF(O216="","",IF(Q216&lt;&gt;"",Q216-O216,TODAY()-O216))</f>
        <v/>
      </c>
      <c r="S216" s="17">
        <f>IF(R216="","",IF(R216&lt;=30,"0-30 Days",IF(R216&lt;=60,"31-60 Days",IF(R216&lt;=90,"61-90 Days",IF(R216&lt;=180,"91-180 Days","181+ Days")))))</f>
        <v/>
      </c>
      <c r="T216" s="16" t="inlineStr">
        <is>
          <t>Medium</t>
        </is>
      </c>
      <c r="U216" s="16" t="inlineStr">
        <is>
          <t>Pending</t>
        </is>
      </c>
      <c r="V216" s="16" t="inlineStr"/>
      <c r="W216" s="16" t="inlineStr"/>
      <c r="X216" s="16" t="inlineStr"/>
    </row>
    <row r="217">
      <c r="A217" s="16" t="inlineStr"/>
      <c r="B217" s="16" t="inlineStr"/>
      <c r="C217" s="17" t="inlineStr"/>
      <c r="D217" s="17" t="inlineStr"/>
      <c r="E217" s="16" t="inlineStr"/>
      <c r="F217" s="16" t="inlineStr"/>
      <c r="G217" s="16" t="inlineStr"/>
      <c r="H217" s="16" t="inlineStr"/>
      <c r="I217" s="16" t="inlineStr"/>
      <c r="J217" s="16" t="inlineStr">
        <is>
          <t>Open</t>
        </is>
      </c>
      <c r="K217" s="16" t="inlineStr">
        <is>
          <t>Medium</t>
        </is>
      </c>
      <c r="L217" s="16" t="inlineStr">
        <is>
          <t>Medium</t>
        </is>
      </c>
      <c r="M217" s="16" t="inlineStr">
        <is>
          <t>Possible</t>
        </is>
      </c>
      <c r="N217" s="21">
        <f>IF(OR(L217="",M217=""),"",IF(L217="Critical",4,IF(L217="High",3,IF(L217="Medium",2,1)))*IF(M217="Almost Certain",5,IF(M217="Likely",4,IF(M217="Possible",3,IF(M217="Unlikely",2,1)))))</f>
        <v/>
      </c>
      <c r="O217" s="20" t="inlineStr"/>
      <c r="P217" s="20" t="inlineStr"/>
      <c r="Q217" s="20" t="inlineStr"/>
      <c r="R217" s="21">
        <f>IF(O217="","",IF(Q217&lt;&gt;"",Q217-O217,TODAY()-O217))</f>
        <v/>
      </c>
      <c r="S217" s="17">
        <f>IF(R217="","",IF(R217&lt;=30,"0-30 Days",IF(R217&lt;=60,"31-60 Days",IF(R217&lt;=90,"61-90 Days",IF(R217&lt;=180,"91-180 Days","181+ Days")))))</f>
        <v/>
      </c>
      <c r="T217" s="16" t="inlineStr">
        <is>
          <t>Medium</t>
        </is>
      </c>
      <c r="U217" s="16" t="inlineStr">
        <is>
          <t>Pending</t>
        </is>
      </c>
      <c r="V217" s="16" t="inlineStr"/>
      <c r="W217" s="16" t="inlineStr"/>
      <c r="X217" s="16" t="inlineStr"/>
    </row>
    <row r="218">
      <c r="A218" s="16" t="inlineStr"/>
      <c r="B218" s="16" t="inlineStr"/>
      <c r="C218" s="17" t="inlineStr"/>
      <c r="D218" s="17" t="inlineStr"/>
      <c r="E218" s="16" t="inlineStr"/>
      <c r="F218" s="16" t="inlineStr"/>
      <c r="G218" s="16" t="inlineStr"/>
      <c r="H218" s="16" t="inlineStr"/>
      <c r="I218" s="16" t="inlineStr"/>
      <c r="J218" s="16" t="inlineStr">
        <is>
          <t>Open</t>
        </is>
      </c>
      <c r="K218" s="16" t="inlineStr">
        <is>
          <t>Medium</t>
        </is>
      </c>
      <c r="L218" s="16" t="inlineStr">
        <is>
          <t>Medium</t>
        </is>
      </c>
      <c r="M218" s="16" t="inlineStr">
        <is>
          <t>Possible</t>
        </is>
      </c>
      <c r="N218" s="21">
        <f>IF(OR(L218="",M218=""),"",IF(L218="Critical",4,IF(L218="High",3,IF(L218="Medium",2,1)))*IF(M218="Almost Certain",5,IF(M218="Likely",4,IF(M218="Possible",3,IF(M218="Unlikely",2,1)))))</f>
        <v/>
      </c>
      <c r="O218" s="20" t="inlineStr"/>
      <c r="P218" s="20" t="inlineStr"/>
      <c r="Q218" s="20" t="inlineStr"/>
      <c r="R218" s="21">
        <f>IF(O218="","",IF(Q218&lt;&gt;"",Q218-O218,TODAY()-O218))</f>
        <v/>
      </c>
      <c r="S218" s="17">
        <f>IF(R218="","",IF(R218&lt;=30,"0-30 Days",IF(R218&lt;=60,"31-60 Days",IF(R218&lt;=90,"61-90 Days",IF(R218&lt;=180,"91-180 Days","181+ Days")))))</f>
        <v/>
      </c>
      <c r="T218" s="16" t="inlineStr">
        <is>
          <t>Medium</t>
        </is>
      </c>
      <c r="U218" s="16" t="inlineStr">
        <is>
          <t>Pending</t>
        </is>
      </c>
      <c r="V218" s="16" t="inlineStr"/>
      <c r="W218" s="16" t="inlineStr"/>
      <c r="X218" s="16" t="inlineStr"/>
    </row>
    <row r="219">
      <c r="A219" s="16" t="inlineStr"/>
      <c r="B219" s="16" t="inlineStr"/>
      <c r="C219" s="17" t="inlineStr"/>
      <c r="D219" s="17" t="inlineStr"/>
      <c r="E219" s="16" t="inlineStr"/>
      <c r="F219" s="16" t="inlineStr"/>
      <c r="G219" s="16" t="inlineStr"/>
      <c r="H219" s="16" t="inlineStr"/>
      <c r="I219" s="16" t="inlineStr"/>
      <c r="J219" s="16" t="inlineStr">
        <is>
          <t>Open</t>
        </is>
      </c>
      <c r="K219" s="16" t="inlineStr">
        <is>
          <t>Medium</t>
        </is>
      </c>
      <c r="L219" s="16" t="inlineStr">
        <is>
          <t>Medium</t>
        </is>
      </c>
      <c r="M219" s="16" t="inlineStr">
        <is>
          <t>Possible</t>
        </is>
      </c>
      <c r="N219" s="21">
        <f>IF(OR(L219="",M219=""),"",IF(L219="Critical",4,IF(L219="High",3,IF(L219="Medium",2,1)))*IF(M219="Almost Certain",5,IF(M219="Likely",4,IF(M219="Possible",3,IF(M219="Unlikely",2,1)))))</f>
        <v/>
      </c>
      <c r="O219" s="20" t="inlineStr"/>
      <c r="P219" s="20" t="inlineStr"/>
      <c r="Q219" s="20" t="inlineStr"/>
      <c r="R219" s="21">
        <f>IF(O219="","",IF(Q219&lt;&gt;"",Q219-O219,TODAY()-O219))</f>
        <v/>
      </c>
      <c r="S219" s="17">
        <f>IF(R219="","",IF(R219&lt;=30,"0-30 Days",IF(R219&lt;=60,"31-60 Days",IF(R219&lt;=90,"61-90 Days",IF(R219&lt;=180,"91-180 Days","181+ Days")))))</f>
        <v/>
      </c>
      <c r="T219" s="16" t="inlineStr">
        <is>
          <t>Medium</t>
        </is>
      </c>
      <c r="U219" s="16" t="inlineStr">
        <is>
          <t>Pending</t>
        </is>
      </c>
      <c r="V219" s="16" t="inlineStr"/>
      <c r="W219" s="16" t="inlineStr"/>
      <c r="X219" s="16" t="inlineStr"/>
    </row>
    <row r="220">
      <c r="A220" s="16" t="inlineStr"/>
      <c r="B220" s="16" t="inlineStr"/>
      <c r="C220" s="17" t="inlineStr"/>
      <c r="D220" s="17" t="inlineStr"/>
      <c r="E220" s="16" t="inlineStr"/>
      <c r="F220" s="16" t="inlineStr"/>
      <c r="G220" s="16" t="inlineStr"/>
      <c r="H220" s="16" t="inlineStr"/>
      <c r="I220" s="16" t="inlineStr"/>
      <c r="J220" s="16" t="inlineStr">
        <is>
          <t>Open</t>
        </is>
      </c>
      <c r="K220" s="16" t="inlineStr">
        <is>
          <t>Medium</t>
        </is>
      </c>
      <c r="L220" s="16" t="inlineStr">
        <is>
          <t>Medium</t>
        </is>
      </c>
      <c r="M220" s="16" t="inlineStr">
        <is>
          <t>Possible</t>
        </is>
      </c>
      <c r="N220" s="21">
        <f>IF(OR(L220="",M220=""),"",IF(L220="Critical",4,IF(L220="High",3,IF(L220="Medium",2,1)))*IF(M220="Almost Certain",5,IF(M220="Likely",4,IF(M220="Possible",3,IF(M220="Unlikely",2,1)))))</f>
        <v/>
      </c>
      <c r="O220" s="20" t="inlineStr"/>
      <c r="P220" s="20" t="inlineStr"/>
      <c r="Q220" s="20" t="inlineStr"/>
      <c r="R220" s="21">
        <f>IF(O220="","",IF(Q220&lt;&gt;"",Q220-O220,TODAY()-O220))</f>
        <v/>
      </c>
      <c r="S220" s="17">
        <f>IF(R220="","",IF(R220&lt;=30,"0-30 Days",IF(R220&lt;=60,"31-60 Days",IF(R220&lt;=90,"61-90 Days",IF(R220&lt;=180,"91-180 Days","181+ Days")))))</f>
        <v/>
      </c>
      <c r="T220" s="16" t="inlineStr">
        <is>
          <t>Medium</t>
        </is>
      </c>
      <c r="U220" s="16" t="inlineStr">
        <is>
          <t>Pending</t>
        </is>
      </c>
      <c r="V220" s="16" t="inlineStr"/>
      <c r="W220" s="16" t="inlineStr"/>
      <c r="X220" s="16" t="inlineStr"/>
    </row>
    <row r="221">
      <c r="A221" s="16" t="inlineStr"/>
      <c r="B221" s="16" t="inlineStr"/>
      <c r="C221" s="17" t="inlineStr"/>
      <c r="D221" s="17" t="inlineStr"/>
      <c r="E221" s="16" t="inlineStr"/>
      <c r="F221" s="16" t="inlineStr"/>
      <c r="G221" s="16" t="inlineStr"/>
      <c r="H221" s="16" t="inlineStr"/>
      <c r="I221" s="16" t="inlineStr"/>
      <c r="J221" s="16" t="inlineStr">
        <is>
          <t>Open</t>
        </is>
      </c>
      <c r="K221" s="16" t="inlineStr">
        <is>
          <t>Medium</t>
        </is>
      </c>
      <c r="L221" s="16" t="inlineStr">
        <is>
          <t>Medium</t>
        </is>
      </c>
      <c r="M221" s="16" t="inlineStr">
        <is>
          <t>Possible</t>
        </is>
      </c>
      <c r="N221" s="21">
        <f>IF(OR(L221="",M221=""),"",IF(L221="Critical",4,IF(L221="High",3,IF(L221="Medium",2,1)))*IF(M221="Almost Certain",5,IF(M221="Likely",4,IF(M221="Possible",3,IF(M221="Unlikely",2,1)))))</f>
        <v/>
      </c>
      <c r="O221" s="20" t="inlineStr"/>
      <c r="P221" s="20" t="inlineStr"/>
      <c r="Q221" s="20" t="inlineStr"/>
      <c r="R221" s="21">
        <f>IF(O221="","",IF(Q221&lt;&gt;"",Q221-O221,TODAY()-O221))</f>
        <v/>
      </c>
      <c r="S221" s="17">
        <f>IF(R221="","",IF(R221&lt;=30,"0-30 Days",IF(R221&lt;=60,"31-60 Days",IF(R221&lt;=90,"61-90 Days",IF(R221&lt;=180,"91-180 Days","181+ Days")))))</f>
        <v/>
      </c>
      <c r="T221" s="16" t="inlineStr">
        <is>
          <t>Medium</t>
        </is>
      </c>
      <c r="U221" s="16" t="inlineStr">
        <is>
          <t>Pending</t>
        </is>
      </c>
      <c r="V221" s="16" t="inlineStr"/>
      <c r="W221" s="16" t="inlineStr"/>
      <c r="X221" s="16" t="inlineStr"/>
    </row>
    <row r="222">
      <c r="A222" s="16" t="inlineStr"/>
      <c r="B222" s="16" t="inlineStr"/>
      <c r="C222" s="17" t="inlineStr"/>
      <c r="D222" s="17" t="inlineStr"/>
      <c r="E222" s="16" t="inlineStr"/>
      <c r="F222" s="16" t="inlineStr"/>
      <c r="G222" s="16" t="inlineStr"/>
      <c r="H222" s="16" t="inlineStr"/>
      <c r="I222" s="16" t="inlineStr"/>
      <c r="J222" s="16" t="inlineStr">
        <is>
          <t>Open</t>
        </is>
      </c>
      <c r="K222" s="16" t="inlineStr">
        <is>
          <t>Medium</t>
        </is>
      </c>
      <c r="L222" s="16" t="inlineStr">
        <is>
          <t>Medium</t>
        </is>
      </c>
      <c r="M222" s="16" t="inlineStr">
        <is>
          <t>Possible</t>
        </is>
      </c>
      <c r="N222" s="21">
        <f>IF(OR(L222="",M222=""),"",IF(L222="Critical",4,IF(L222="High",3,IF(L222="Medium",2,1)))*IF(M222="Almost Certain",5,IF(M222="Likely",4,IF(M222="Possible",3,IF(M222="Unlikely",2,1)))))</f>
        <v/>
      </c>
      <c r="O222" s="20" t="inlineStr"/>
      <c r="P222" s="20" t="inlineStr"/>
      <c r="Q222" s="20" t="inlineStr"/>
      <c r="R222" s="21">
        <f>IF(O222="","",IF(Q222&lt;&gt;"",Q222-O222,TODAY()-O222))</f>
        <v/>
      </c>
      <c r="S222" s="17">
        <f>IF(R222="","",IF(R222&lt;=30,"0-30 Days",IF(R222&lt;=60,"31-60 Days",IF(R222&lt;=90,"61-90 Days",IF(R222&lt;=180,"91-180 Days","181+ Days")))))</f>
        <v/>
      </c>
      <c r="T222" s="16" t="inlineStr">
        <is>
          <t>Medium</t>
        </is>
      </c>
      <c r="U222" s="16" t="inlineStr">
        <is>
          <t>Pending</t>
        </is>
      </c>
      <c r="V222" s="16" t="inlineStr"/>
      <c r="W222" s="16" t="inlineStr"/>
      <c r="X222" s="16" t="inlineStr"/>
    </row>
    <row r="223">
      <c r="A223" s="16" t="inlineStr"/>
      <c r="B223" s="16" t="inlineStr"/>
      <c r="C223" s="17" t="inlineStr"/>
      <c r="D223" s="17" t="inlineStr"/>
      <c r="E223" s="16" t="inlineStr"/>
      <c r="F223" s="16" t="inlineStr"/>
      <c r="G223" s="16" t="inlineStr"/>
      <c r="H223" s="16" t="inlineStr"/>
      <c r="I223" s="16" t="inlineStr"/>
      <c r="J223" s="16" t="inlineStr">
        <is>
          <t>Open</t>
        </is>
      </c>
      <c r="K223" s="16" t="inlineStr">
        <is>
          <t>Medium</t>
        </is>
      </c>
      <c r="L223" s="16" t="inlineStr">
        <is>
          <t>Medium</t>
        </is>
      </c>
      <c r="M223" s="16" t="inlineStr">
        <is>
          <t>Possible</t>
        </is>
      </c>
      <c r="N223" s="21">
        <f>IF(OR(L223="",M223=""),"",IF(L223="Critical",4,IF(L223="High",3,IF(L223="Medium",2,1)))*IF(M223="Almost Certain",5,IF(M223="Likely",4,IF(M223="Possible",3,IF(M223="Unlikely",2,1)))))</f>
        <v/>
      </c>
      <c r="O223" s="20" t="inlineStr"/>
      <c r="P223" s="20" t="inlineStr"/>
      <c r="Q223" s="20" t="inlineStr"/>
      <c r="R223" s="21">
        <f>IF(O223="","",IF(Q223&lt;&gt;"",Q223-O223,TODAY()-O223))</f>
        <v/>
      </c>
      <c r="S223" s="17">
        <f>IF(R223="","",IF(R223&lt;=30,"0-30 Days",IF(R223&lt;=60,"31-60 Days",IF(R223&lt;=90,"61-90 Days",IF(R223&lt;=180,"91-180 Days","181+ Days")))))</f>
        <v/>
      </c>
      <c r="T223" s="16" t="inlineStr">
        <is>
          <t>Medium</t>
        </is>
      </c>
      <c r="U223" s="16" t="inlineStr">
        <is>
          <t>Pending</t>
        </is>
      </c>
      <c r="V223" s="16" t="inlineStr"/>
      <c r="W223" s="16" t="inlineStr"/>
      <c r="X223" s="16" t="inlineStr"/>
    </row>
    <row r="224">
      <c r="A224" s="16" t="inlineStr"/>
      <c r="B224" s="16" t="inlineStr"/>
      <c r="C224" s="17" t="inlineStr"/>
      <c r="D224" s="17" t="inlineStr"/>
      <c r="E224" s="16" t="inlineStr"/>
      <c r="F224" s="16" t="inlineStr"/>
      <c r="G224" s="16" t="inlineStr"/>
      <c r="H224" s="16" t="inlineStr"/>
      <c r="I224" s="16" t="inlineStr"/>
      <c r="J224" s="16" t="inlineStr">
        <is>
          <t>Open</t>
        </is>
      </c>
      <c r="K224" s="16" t="inlineStr">
        <is>
          <t>Medium</t>
        </is>
      </c>
      <c r="L224" s="16" t="inlineStr">
        <is>
          <t>Medium</t>
        </is>
      </c>
      <c r="M224" s="16" t="inlineStr">
        <is>
          <t>Possible</t>
        </is>
      </c>
      <c r="N224" s="21">
        <f>IF(OR(L224="",M224=""),"",IF(L224="Critical",4,IF(L224="High",3,IF(L224="Medium",2,1)))*IF(M224="Almost Certain",5,IF(M224="Likely",4,IF(M224="Possible",3,IF(M224="Unlikely",2,1)))))</f>
        <v/>
      </c>
      <c r="O224" s="20" t="inlineStr"/>
      <c r="P224" s="20" t="inlineStr"/>
      <c r="Q224" s="20" t="inlineStr"/>
      <c r="R224" s="21">
        <f>IF(O224="","",IF(Q224&lt;&gt;"",Q224-O224,TODAY()-O224))</f>
        <v/>
      </c>
      <c r="S224" s="17">
        <f>IF(R224="","",IF(R224&lt;=30,"0-30 Days",IF(R224&lt;=60,"31-60 Days",IF(R224&lt;=90,"61-90 Days",IF(R224&lt;=180,"91-180 Days","181+ Days")))))</f>
        <v/>
      </c>
      <c r="T224" s="16" t="inlineStr">
        <is>
          <t>Medium</t>
        </is>
      </c>
      <c r="U224" s="16" t="inlineStr">
        <is>
          <t>Pending</t>
        </is>
      </c>
      <c r="V224" s="16" t="inlineStr"/>
      <c r="W224" s="16" t="inlineStr"/>
      <c r="X224" s="16" t="inlineStr"/>
    </row>
    <row r="225">
      <c r="A225" s="16" t="inlineStr"/>
      <c r="B225" s="16" t="inlineStr"/>
      <c r="C225" s="17" t="inlineStr"/>
      <c r="D225" s="17" t="inlineStr"/>
      <c r="E225" s="16" t="inlineStr"/>
      <c r="F225" s="16" t="inlineStr"/>
      <c r="G225" s="16" t="inlineStr"/>
      <c r="H225" s="16" t="inlineStr"/>
      <c r="I225" s="16" t="inlineStr"/>
      <c r="J225" s="16" t="inlineStr">
        <is>
          <t>Open</t>
        </is>
      </c>
      <c r="K225" s="16" t="inlineStr">
        <is>
          <t>Medium</t>
        </is>
      </c>
      <c r="L225" s="16" t="inlineStr">
        <is>
          <t>Medium</t>
        </is>
      </c>
      <c r="M225" s="16" t="inlineStr">
        <is>
          <t>Possible</t>
        </is>
      </c>
      <c r="N225" s="21">
        <f>IF(OR(L225="",M225=""),"",IF(L225="Critical",4,IF(L225="High",3,IF(L225="Medium",2,1)))*IF(M225="Almost Certain",5,IF(M225="Likely",4,IF(M225="Possible",3,IF(M225="Unlikely",2,1)))))</f>
        <v/>
      </c>
      <c r="O225" s="20" t="inlineStr"/>
      <c r="P225" s="20" t="inlineStr"/>
      <c r="Q225" s="20" t="inlineStr"/>
      <c r="R225" s="21">
        <f>IF(O225="","",IF(Q225&lt;&gt;"",Q225-O225,TODAY()-O225))</f>
        <v/>
      </c>
      <c r="S225" s="17">
        <f>IF(R225="","",IF(R225&lt;=30,"0-30 Days",IF(R225&lt;=60,"31-60 Days",IF(R225&lt;=90,"61-90 Days",IF(R225&lt;=180,"91-180 Days","181+ Days")))))</f>
        <v/>
      </c>
      <c r="T225" s="16" t="inlineStr">
        <is>
          <t>Medium</t>
        </is>
      </c>
      <c r="U225" s="16" t="inlineStr">
        <is>
          <t>Pending</t>
        </is>
      </c>
      <c r="V225" s="16" t="inlineStr"/>
      <c r="W225" s="16" t="inlineStr"/>
      <c r="X225" s="16" t="inlineStr"/>
    </row>
    <row r="226">
      <c r="A226" s="16" t="inlineStr"/>
      <c r="B226" s="16" t="inlineStr"/>
      <c r="C226" s="17" t="inlineStr"/>
      <c r="D226" s="17" t="inlineStr"/>
      <c r="E226" s="16" t="inlineStr"/>
      <c r="F226" s="16" t="inlineStr"/>
      <c r="G226" s="16" t="inlineStr"/>
      <c r="H226" s="16" t="inlineStr"/>
      <c r="I226" s="16" t="inlineStr"/>
      <c r="J226" s="16" t="inlineStr">
        <is>
          <t>Open</t>
        </is>
      </c>
      <c r="K226" s="16" t="inlineStr">
        <is>
          <t>Medium</t>
        </is>
      </c>
      <c r="L226" s="16" t="inlineStr">
        <is>
          <t>Medium</t>
        </is>
      </c>
      <c r="M226" s="16" t="inlineStr">
        <is>
          <t>Possible</t>
        </is>
      </c>
      <c r="N226" s="21">
        <f>IF(OR(L226="",M226=""),"",IF(L226="Critical",4,IF(L226="High",3,IF(L226="Medium",2,1)))*IF(M226="Almost Certain",5,IF(M226="Likely",4,IF(M226="Possible",3,IF(M226="Unlikely",2,1)))))</f>
        <v/>
      </c>
      <c r="O226" s="20" t="inlineStr"/>
      <c r="P226" s="20" t="inlineStr"/>
      <c r="Q226" s="20" t="inlineStr"/>
      <c r="R226" s="21">
        <f>IF(O226="","",IF(Q226&lt;&gt;"",Q226-O226,TODAY()-O226))</f>
        <v/>
      </c>
      <c r="S226" s="17">
        <f>IF(R226="","",IF(R226&lt;=30,"0-30 Days",IF(R226&lt;=60,"31-60 Days",IF(R226&lt;=90,"61-90 Days",IF(R226&lt;=180,"91-180 Days","181+ Days")))))</f>
        <v/>
      </c>
      <c r="T226" s="16" t="inlineStr">
        <is>
          <t>Medium</t>
        </is>
      </c>
      <c r="U226" s="16" t="inlineStr">
        <is>
          <t>Pending</t>
        </is>
      </c>
      <c r="V226" s="16" t="inlineStr"/>
      <c r="W226" s="16" t="inlineStr"/>
      <c r="X226" s="16" t="inlineStr"/>
    </row>
    <row r="227">
      <c r="A227" s="16" t="inlineStr"/>
      <c r="B227" s="16" t="inlineStr"/>
      <c r="C227" s="17" t="inlineStr"/>
      <c r="D227" s="17" t="inlineStr"/>
      <c r="E227" s="16" t="inlineStr"/>
      <c r="F227" s="16" t="inlineStr"/>
      <c r="G227" s="16" t="inlineStr"/>
      <c r="H227" s="16" t="inlineStr"/>
      <c r="I227" s="16" t="inlineStr"/>
      <c r="J227" s="16" t="inlineStr">
        <is>
          <t>Open</t>
        </is>
      </c>
      <c r="K227" s="16" t="inlineStr">
        <is>
          <t>Medium</t>
        </is>
      </c>
      <c r="L227" s="16" t="inlineStr">
        <is>
          <t>Medium</t>
        </is>
      </c>
      <c r="M227" s="16" t="inlineStr">
        <is>
          <t>Possible</t>
        </is>
      </c>
      <c r="N227" s="21">
        <f>IF(OR(L227="",M227=""),"",IF(L227="Critical",4,IF(L227="High",3,IF(L227="Medium",2,1)))*IF(M227="Almost Certain",5,IF(M227="Likely",4,IF(M227="Possible",3,IF(M227="Unlikely",2,1)))))</f>
        <v/>
      </c>
      <c r="O227" s="20" t="inlineStr"/>
      <c r="P227" s="20" t="inlineStr"/>
      <c r="Q227" s="20" t="inlineStr"/>
      <c r="R227" s="21">
        <f>IF(O227="","",IF(Q227&lt;&gt;"",Q227-O227,TODAY()-O227))</f>
        <v/>
      </c>
      <c r="S227" s="17">
        <f>IF(R227="","",IF(R227&lt;=30,"0-30 Days",IF(R227&lt;=60,"31-60 Days",IF(R227&lt;=90,"61-90 Days",IF(R227&lt;=180,"91-180 Days","181+ Days")))))</f>
        <v/>
      </c>
      <c r="T227" s="16" t="inlineStr">
        <is>
          <t>Medium</t>
        </is>
      </c>
      <c r="U227" s="16" t="inlineStr">
        <is>
          <t>Pending</t>
        </is>
      </c>
      <c r="V227" s="16" t="inlineStr"/>
      <c r="W227" s="16" t="inlineStr"/>
      <c r="X227" s="16" t="inlineStr"/>
    </row>
    <row r="228">
      <c r="A228" s="16" t="inlineStr"/>
      <c r="B228" s="16" t="inlineStr"/>
      <c r="C228" s="17" t="inlineStr"/>
      <c r="D228" s="17" t="inlineStr"/>
      <c r="E228" s="16" t="inlineStr"/>
      <c r="F228" s="16" t="inlineStr"/>
      <c r="G228" s="16" t="inlineStr"/>
      <c r="H228" s="16" t="inlineStr"/>
      <c r="I228" s="16" t="inlineStr"/>
      <c r="J228" s="16" t="inlineStr">
        <is>
          <t>Open</t>
        </is>
      </c>
      <c r="K228" s="16" t="inlineStr">
        <is>
          <t>Medium</t>
        </is>
      </c>
      <c r="L228" s="16" t="inlineStr">
        <is>
          <t>Medium</t>
        </is>
      </c>
      <c r="M228" s="16" t="inlineStr">
        <is>
          <t>Possible</t>
        </is>
      </c>
      <c r="N228" s="21">
        <f>IF(OR(L228="",M228=""),"",IF(L228="Critical",4,IF(L228="High",3,IF(L228="Medium",2,1)))*IF(M228="Almost Certain",5,IF(M228="Likely",4,IF(M228="Possible",3,IF(M228="Unlikely",2,1)))))</f>
        <v/>
      </c>
      <c r="O228" s="20" t="inlineStr"/>
      <c r="P228" s="20" t="inlineStr"/>
      <c r="Q228" s="20" t="inlineStr"/>
      <c r="R228" s="21">
        <f>IF(O228="","",IF(Q228&lt;&gt;"",Q228-O228,TODAY()-O228))</f>
        <v/>
      </c>
      <c r="S228" s="17">
        <f>IF(R228="","",IF(R228&lt;=30,"0-30 Days",IF(R228&lt;=60,"31-60 Days",IF(R228&lt;=90,"61-90 Days",IF(R228&lt;=180,"91-180 Days","181+ Days")))))</f>
        <v/>
      </c>
      <c r="T228" s="16" t="inlineStr">
        <is>
          <t>Medium</t>
        </is>
      </c>
      <c r="U228" s="16" t="inlineStr">
        <is>
          <t>Pending</t>
        </is>
      </c>
      <c r="V228" s="16" t="inlineStr"/>
      <c r="W228" s="16" t="inlineStr"/>
      <c r="X228" s="16" t="inlineStr"/>
    </row>
    <row r="229">
      <c r="A229" s="16" t="inlineStr"/>
      <c r="B229" s="16" t="inlineStr"/>
      <c r="C229" s="17" t="inlineStr"/>
      <c r="D229" s="17" t="inlineStr"/>
      <c r="E229" s="16" t="inlineStr"/>
      <c r="F229" s="16" t="inlineStr"/>
      <c r="G229" s="16" t="inlineStr"/>
      <c r="H229" s="16" t="inlineStr"/>
      <c r="I229" s="16" t="inlineStr"/>
      <c r="J229" s="16" t="inlineStr">
        <is>
          <t>Open</t>
        </is>
      </c>
      <c r="K229" s="16" t="inlineStr">
        <is>
          <t>Medium</t>
        </is>
      </c>
      <c r="L229" s="16" t="inlineStr">
        <is>
          <t>Medium</t>
        </is>
      </c>
      <c r="M229" s="16" t="inlineStr">
        <is>
          <t>Possible</t>
        </is>
      </c>
      <c r="N229" s="21">
        <f>IF(OR(L229="",M229=""),"",IF(L229="Critical",4,IF(L229="High",3,IF(L229="Medium",2,1)))*IF(M229="Almost Certain",5,IF(M229="Likely",4,IF(M229="Possible",3,IF(M229="Unlikely",2,1)))))</f>
        <v/>
      </c>
      <c r="O229" s="20" t="inlineStr"/>
      <c r="P229" s="20" t="inlineStr"/>
      <c r="Q229" s="20" t="inlineStr"/>
      <c r="R229" s="21">
        <f>IF(O229="","",IF(Q229&lt;&gt;"",Q229-O229,TODAY()-O229))</f>
        <v/>
      </c>
      <c r="S229" s="17">
        <f>IF(R229="","",IF(R229&lt;=30,"0-30 Days",IF(R229&lt;=60,"31-60 Days",IF(R229&lt;=90,"61-90 Days",IF(R229&lt;=180,"91-180 Days","181+ Days")))))</f>
        <v/>
      </c>
      <c r="T229" s="16" t="inlineStr">
        <is>
          <t>Medium</t>
        </is>
      </c>
      <c r="U229" s="16" t="inlineStr">
        <is>
          <t>Pending</t>
        </is>
      </c>
      <c r="V229" s="16" t="inlineStr"/>
      <c r="W229" s="16" t="inlineStr"/>
      <c r="X229" s="16" t="inlineStr"/>
    </row>
    <row r="230">
      <c r="A230" s="16" t="inlineStr"/>
      <c r="B230" s="16" t="inlineStr"/>
      <c r="C230" s="17" t="inlineStr"/>
      <c r="D230" s="17" t="inlineStr"/>
      <c r="E230" s="16" t="inlineStr"/>
      <c r="F230" s="16" t="inlineStr"/>
      <c r="G230" s="16" t="inlineStr"/>
      <c r="H230" s="16" t="inlineStr"/>
      <c r="I230" s="16" t="inlineStr"/>
      <c r="J230" s="16" t="inlineStr">
        <is>
          <t>Open</t>
        </is>
      </c>
      <c r="K230" s="16" t="inlineStr">
        <is>
          <t>Medium</t>
        </is>
      </c>
      <c r="L230" s="16" t="inlineStr">
        <is>
          <t>Medium</t>
        </is>
      </c>
      <c r="M230" s="16" t="inlineStr">
        <is>
          <t>Possible</t>
        </is>
      </c>
      <c r="N230" s="21">
        <f>IF(OR(L230="",M230=""),"",IF(L230="Critical",4,IF(L230="High",3,IF(L230="Medium",2,1)))*IF(M230="Almost Certain",5,IF(M230="Likely",4,IF(M230="Possible",3,IF(M230="Unlikely",2,1)))))</f>
        <v/>
      </c>
      <c r="O230" s="20" t="inlineStr"/>
      <c r="P230" s="20" t="inlineStr"/>
      <c r="Q230" s="20" t="inlineStr"/>
      <c r="R230" s="21">
        <f>IF(O230="","",IF(Q230&lt;&gt;"",Q230-O230,TODAY()-O230))</f>
        <v/>
      </c>
      <c r="S230" s="17">
        <f>IF(R230="","",IF(R230&lt;=30,"0-30 Days",IF(R230&lt;=60,"31-60 Days",IF(R230&lt;=90,"61-90 Days",IF(R230&lt;=180,"91-180 Days","181+ Days")))))</f>
        <v/>
      </c>
      <c r="T230" s="16" t="inlineStr">
        <is>
          <t>Medium</t>
        </is>
      </c>
      <c r="U230" s="16" t="inlineStr">
        <is>
          <t>Pending</t>
        </is>
      </c>
      <c r="V230" s="16" t="inlineStr"/>
      <c r="W230" s="16" t="inlineStr"/>
      <c r="X230" s="16" t="inlineStr"/>
    </row>
    <row r="231">
      <c r="A231" s="16" t="inlineStr"/>
      <c r="B231" s="16" t="inlineStr"/>
      <c r="C231" s="17" t="inlineStr"/>
      <c r="D231" s="17" t="inlineStr"/>
      <c r="E231" s="16" t="inlineStr"/>
      <c r="F231" s="16" t="inlineStr"/>
      <c r="G231" s="16" t="inlineStr"/>
      <c r="H231" s="16" t="inlineStr"/>
      <c r="I231" s="16" t="inlineStr"/>
      <c r="J231" s="16" t="inlineStr">
        <is>
          <t>Open</t>
        </is>
      </c>
      <c r="K231" s="16" t="inlineStr">
        <is>
          <t>Medium</t>
        </is>
      </c>
      <c r="L231" s="16" t="inlineStr">
        <is>
          <t>Medium</t>
        </is>
      </c>
      <c r="M231" s="16" t="inlineStr">
        <is>
          <t>Possible</t>
        </is>
      </c>
      <c r="N231" s="21">
        <f>IF(OR(L231="",M231=""),"",IF(L231="Critical",4,IF(L231="High",3,IF(L231="Medium",2,1)))*IF(M231="Almost Certain",5,IF(M231="Likely",4,IF(M231="Possible",3,IF(M231="Unlikely",2,1)))))</f>
        <v/>
      </c>
      <c r="O231" s="20" t="inlineStr"/>
      <c r="P231" s="20" t="inlineStr"/>
      <c r="Q231" s="20" t="inlineStr"/>
      <c r="R231" s="21">
        <f>IF(O231="","",IF(Q231&lt;&gt;"",Q231-O231,TODAY()-O231))</f>
        <v/>
      </c>
      <c r="S231" s="17">
        <f>IF(R231="","",IF(R231&lt;=30,"0-30 Days",IF(R231&lt;=60,"31-60 Days",IF(R231&lt;=90,"61-90 Days",IF(R231&lt;=180,"91-180 Days","181+ Days")))))</f>
        <v/>
      </c>
      <c r="T231" s="16" t="inlineStr">
        <is>
          <t>Medium</t>
        </is>
      </c>
      <c r="U231" s="16" t="inlineStr">
        <is>
          <t>Pending</t>
        </is>
      </c>
      <c r="V231" s="16" t="inlineStr"/>
      <c r="W231" s="16" t="inlineStr"/>
      <c r="X231" s="16" t="inlineStr"/>
    </row>
    <row r="232">
      <c r="A232" s="16" t="inlineStr"/>
      <c r="B232" s="16" t="inlineStr"/>
      <c r="C232" s="17" t="inlineStr"/>
      <c r="D232" s="17" t="inlineStr"/>
      <c r="E232" s="16" t="inlineStr"/>
      <c r="F232" s="16" t="inlineStr"/>
      <c r="G232" s="16" t="inlineStr"/>
      <c r="H232" s="16" t="inlineStr"/>
      <c r="I232" s="16" t="inlineStr"/>
      <c r="J232" s="16" t="inlineStr">
        <is>
          <t>Open</t>
        </is>
      </c>
      <c r="K232" s="16" t="inlineStr">
        <is>
          <t>Medium</t>
        </is>
      </c>
      <c r="L232" s="16" t="inlineStr">
        <is>
          <t>Medium</t>
        </is>
      </c>
      <c r="M232" s="16" t="inlineStr">
        <is>
          <t>Possible</t>
        </is>
      </c>
      <c r="N232" s="21">
        <f>IF(OR(L232="",M232=""),"",IF(L232="Critical",4,IF(L232="High",3,IF(L232="Medium",2,1)))*IF(M232="Almost Certain",5,IF(M232="Likely",4,IF(M232="Possible",3,IF(M232="Unlikely",2,1)))))</f>
        <v/>
      </c>
      <c r="O232" s="20" t="inlineStr"/>
      <c r="P232" s="20" t="inlineStr"/>
      <c r="Q232" s="20" t="inlineStr"/>
      <c r="R232" s="21">
        <f>IF(O232="","",IF(Q232&lt;&gt;"",Q232-O232,TODAY()-O232))</f>
        <v/>
      </c>
      <c r="S232" s="17">
        <f>IF(R232="","",IF(R232&lt;=30,"0-30 Days",IF(R232&lt;=60,"31-60 Days",IF(R232&lt;=90,"61-90 Days",IF(R232&lt;=180,"91-180 Days","181+ Days")))))</f>
        <v/>
      </c>
      <c r="T232" s="16" t="inlineStr">
        <is>
          <t>Medium</t>
        </is>
      </c>
      <c r="U232" s="16" t="inlineStr">
        <is>
          <t>Pending</t>
        </is>
      </c>
      <c r="V232" s="16" t="inlineStr"/>
      <c r="W232" s="16" t="inlineStr"/>
      <c r="X232" s="16" t="inlineStr"/>
    </row>
    <row r="233">
      <c r="A233" s="16" t="inlineStr"/>
      <c r="B233" s="16" t="inlineStr"/>
      <c r="C233" s="17" t="inlineStr"/>
      <c r="D233" s="17" t="inlineStr"/>
      <c r="E233" s="16" t="inlineStr"/>
      <c r="F233" s="16" t="inlineStr"/>
      <c r="G233" s="16" t="inlineStr"/>
      <c r="H233" s="16" t="inlineStr"/>
      <c r="I233" s="16" t="inlineStr"/>
      <c r="J233" s="16" t="inlineStr">
        <is>
          <t>Open</t>
        </is>
      </c>
      <c r="K233" s="16" t="inlineStr">
        <is>
          <t>Medium</t>
        </is>
      </c>
      <c r="L233" s="16" t="inlineStr">
        <is>
          <t>Medium</t>
        </is>
      </c>
      <c r="M233" s="16" t="inlineStr">
        <is>
          <t>Possible</t>
        </is>
      </c>
      <c r="N233" s="21">
        <f>IF(OR(L233="",M233=""),"",IF(L233="Critical",4,IF(L233="High",3,IF(L233="Medium",2,1)))*IF(M233="Almost Certain",5,IF(M233="Likely",4,IF(M233="Possible",3,IF(M233="Unlikely",2,1)))))</f>
        <v/>
      </c>
      <c r="O233" s="20" t="inlineStr"/>
      <c r="P233" s="20" t="inlineStr"/>
      <c r="Q233" s="20" t="inlineStr"/>
      <c r="R233" s="21">
        <f>IF(O233="","",IF(Q233&lt;&gt;"",Q233-O233,TODAY()-O233))</f>
        <v/>
      </c>
      <c r="S233" s="17">
        <f>IF(R233="","",IF(R233&lt;=30,"0-30 Days",IF(R233&lt;=60,"31-60 Days",IF(R233&lt;=90,"61-90 Days",IF(R233&lt;=180,"91-180 Days","181+ Days")))))</f>
        <v/>
      </c>
      <c r="T233" s="16" t="inlineStr">
        <is>
          <t>Medium</t>
        </is>
      </c>
      <c r="U233" s="16" t="inlineStr">
        <is>
          <t>Pending</t>
        </is>
      </c>
      <c r="V233" s="16" t="inlineStr"/>
      <c r="W233" s="16" t="inlineStr"/>
      <c r="X233" s="16" t="inlineStr"/>
    </row>
    <row r="234">
      <c r="A234" s="16" t="inlineStr"/>
      <c r="B234" s="16" t="inlineStr"/>
      <c r="C234" s="17" t="inlineStr"/>
      <c r="D234" s="17" t="inlineStr"/>
      <c r="E234" s="16" t="inlineStr"/>
      <c r="F234" s="16" t="inlineStr"/>
      <c r="G234" s="16" t="inlineStr"/>
      <c r="H234" s="16" t="inlineStr"/>
      <c r="I234" s="16" t="inlineStr"/>
      <c r="J234" s="16" t="inlineStr">
        <is>
          <t>Open</t>
        </is>
      </c>
      <c r="K234" s="16" t="inlineStr">
        <is>
          <t>Medium</t>
        </is>
      </c>
      <c r="L234" s="16" t="inlineStr">
        <is>
          <t>Medium</t>
        </is>
      </c>
      <c r="M234" s="16" t="inlineStr">
        <is>
          <t>Possible</t>
        </is>
      </c>
      <c r="N234" s="21">
        <f>IF(OR(L234="",M234=""),"",IF(L234="Critical",4,IF(L234="High",3,IF(L234="Medium",2,1)))*IF(M234="Almost Certain",5,IF(M234="Likely",4,IF(M234="Possible",3,IF(M234="Unlikely",2,1)))))</f>
        <v/>
      </c>
      <c r="O234" s="20" t="inlineStr"/>
      <c r="P234" s="20" t="inlineStr"/>
      <c r="Q234" s="20" t="inlineStr"/>
      <c r="R234" s="21">
        <f>IF(O234="","",IF(Q234&lt;&gt;"",Q234-O234,TODAY()-O234))</f>
        <v/>
      </c>
      <c r="S234" s="17">
        <f>IF(R234="","",IF(R234&lt;=30,"0-30 Days",IF(R234&lt;=60,"31-60 Days",IF(R234&lt;=90,"61-90 Days",IF(R234&lt;=180,"91-180 Days","181+ Days")))))</f>
        <v/>
      </c>
      <c r="T234" s="16" t="inlineStr">
        <is>
          <t>Medium</t>
        </is>
      </c>
      <c r="U234" s="16" t="inlineStr">
        <is>
          <t>Pending</t>
        </is>
      </c>
      <c r="V234" s="16" t="inlineStr"/>
      <c r="W234" s="16" t="inlineStr"/>
      <c r="X234" s="16" t="inlineStr"/>
    </row>
    <row r="235">
      <c r="A235" s="16" t="inlineStr"/>
      <c r="B235" s="16" t="inlineStr"/>
      <c r="C235" s="17" t="inlineStr"/>
      <c r="D235" s="17" t="inlineStr"/>
      <c r="E235" s="16" t="inlineStr"/>
      <c r="F235" s="16" t="inlineStr"/>
      <c r="G235" s="16" t="inlineStr"/>
      <c r="H235" s="16" t="inlineStr"/>
      <c r="I235" s="16" t="inlineStr"/>
      <c r="J235" s="16" t="inlineStr">
        <is>
          <t>Open</t>
        </is>
      </c>
      <c r="K235" s="16" t="inlineStr">
        <is>
          <t>Medium</t>
        </is>
      </c>
      <c r="L235" s="16" t="inlineStr">
        <is>
          <t>Medium</t>
        </is>
      </c>
      <c r="M235" s="16" t="inlineStr">
        <is>
          <t>Possible</t>
        </is>
      </c>
      <c r="N235" s="21">
        <f>IF(OR(L235="",M235=""),"",IF(L235="Critical",4,IF(L235="High",3,IF(L235="Medium",2,1)))*IF(M235="Almost Certain",5,IF(M235="Likely",4,IF(M235="Possible",3,IF(M235="Unlikely",2,1)))))</f>
        <v/>
      </c>
      <c r="O235" s="20" t="inlineStr"/>
      <c r="P235" s="20" t="inlineStr"/>
      <c r="Q235" s="20" t="inlineStr"/>
      <c r="R235" s="21">
        <f>IF(O235="","",IF(Q235&lt;&gt;"",Q235-O235,TODAY()-O235))</f>
        <v/>
      </c>
      <c r="S235" s="17">
        <f>IF(R235="","",IF(R235&lt;=30,"0-30 Days",IF(R235&lt;=60,"31-60 Days",IF(R235&lt;=90,"61-90 Days",IF(R235&lt;=180,"91-180 Days","181+ Days")))))</f>
        <v/>
      </c>
      <c r="T235" s="16" t="inlineStr">
        <is>
          <t>Medium</t>
        </is>
      </c>
      <c r="U235" s="16" t="inlineStr">
        <is>
          <t>Pending</t>
        </is>
      </c>
      <c r="V235" s="16" t="inlineStr"/>
      <c r="W235" s="16" t="inlineStr"/>
      <c r="X235" s="16" t="inlineStr"/>
    </row>
    <row r="236">
      <c r="A236" s="16" t="inlineStr"/>
      <c r="B236" s="16" t="inlineStr"/>
      <c r="C236" s="17" t="inlineStr"/>
      <c r="D236" s="17" t="inlineStr"/>
      <c r="E236" s="16" t="inlineStr"/>
      <c r="F236" s="16" t="inlineStr"/>
      <c r="G236" s="16" t="inlineStr"/>
      <c r="H236" s="16" t="inlineStr"/>
      <c r="I236" s="16" t="inlineStr"/>
      <c r="J236" s="16" t="inlineStr">
        <is>
          <t>Open</t>
        </is>
      </c>
      <c r="K236" s="16" t="inlineStr">
        <is>
          <t>Medium</t>
        </is>
      </c>
      <c r="L236" s="16" t="inlineStr">
        <is>
          <t>Medium</t>
        </is>
      </c>
      <c r="M236" s="16" t="inlineStr">
        <is>
          <t>Possible</t>
        </is>
      </c>
      <c r="N236" s="21">
        <f>IF(OR(L236="",M236=""),"",IF(L236="Critical",4,IF(L236="High",3,IF(L236="Medium",2,1)))*IF(M236="Almost Certain",5,IF(M236="Likely",4,IF(M236="Possible",3,IF(M236="Unlikely",2,1)))))</f>
        <v/>
      </c>
      <c r="O236" s="20" t="inlineStr"/>
      <c r="P236" s="20" t="inlineStr"/>
      <c r="Q236" s="20" t="inlineStr"/>
      <c r="R236" s="21">
        <f>IF(O236="","",IF(Q236&lt;&gt;"",Q236-O236,TODAY()-O236))</f>
        <v/>
      </c>
      <c r="S236" s="17">
        <f>IF(R236="","",IF(R236&lt;=30,"0-30 Days",IF(R236&lt;=60,"31-60 Days",IF(R236&lt;=90,"61-90 Days",IF(R236&lt;=180,"91-180 Days","181+ Days")))))</f>
        <v/>
      </c>
      <c r="T236" s="16" t="inlineStr">
        <is>
          <t>Medium</t>
        </is>
      </c>
      <c r="U236" s="16" t="inlineStr">
        <is>
          <t>Pending</t>
        </is>
      </c>
      <c r="V236" s="16" t="inlineStr"/>
      <c r="W236" s="16" t="inlineStr"/>
      <c r="X236" s="16" t="inlineStr"/>
    </row>
    <row r="237">
      <c r="A237" s="16" t="inlineStr"/>
      <c r="B237" s="16" t="inlineStr"/>
      <c r="C237" s="17" t="inlineStr"/>
      <c r="D237" s="17" t="inlineStr"/>
      <c r="E237" s="16" t="inlineStr"/>
      <c r="F237" s="16" t="inlineStr"/>
      <c r="G237" s="16" t="inlineStr"/>
      <c r="H237" s="16" t="inlineStr"/>
      <c r="I237" s="16" t="inlineStr"/>
      <c r="J237" s="16" t="inlineStr">
        <is>
          <t>Open</t>
        </is>
      </c>
      <c r="K237" s="16" t="inlineStr">
        <is>
          <t>Medium</t>
        </is>
      </c>
      <c r="L237" s="16" t="inlineStr">
        <is>
          <t>Medium</t>
        </is>
      </c>
      <c r="M237" s="16" t="inlineStr">
        <is>
          <t>Possible</t>
        </is>
      </c>
      <c r="N237" s="21">
        <f>IF(OR(L237="",M237=""),"",IF(L237="Critical",4,IF(L237="High",3,IF(L237="Medium",2,1)))*IF(M237="Almost Certain",5,IF(M237="Likely",4,IF(M237="Possible",3,IF(M237="Unlikely",2,1)))))</f>
        <v/>
      </c>
      <c r="O237" s="20" t="inlineStr"/>
      <c r="P237" s="20" t="inlineStr"/>
      <c r="Q237" s="20" t="inlineStr"/>
      <c r="R237" s="21">
        <f>IF(O237="","",IF(Q237&lt;&gt;"",Q237-O237,TODAY()-O237))</f>
        <v/>
      </c>
      <c r="S237" s="17">
        <f>IF(R237="","",IF(R237&lt;=30,"0-30 Days",IF(R237&lt;=60,"31-60 Days",IF(R237&lt;=90,"61-90 Days",IF(R237&lt;=180,"91-180 Days","181+ Days")))))</f>
        <v/>
      </c>
      <c r="T237" s="16" t="inlineStr">
        <is>
          <t>Medium</t>
        </is>
      </c>
      <c r="U237" s="16" t="inlineStr">
        <is>
          <t>Pending</t>
        </is>
      </c>
      <c r="V237" s="16" t="inlineStr"/>
      <c r="W237" s="16" t="inlineStr"/>
      <c r="X237" s="16" t="inlineStr"/>
    </row>
    <row r="238">
      <c r="A238" s="16" t="inlineStr"/>
      <c r="B238" s="16" t="inlineStr"/>
      <c r="C238" s="17" t="inlineStr"/>
      <c r="D238" s="17" t="inlineStr"/>
      <c r="E238" s="16" t="inlineStr"/>
      <c r="F238" s="16" t="inlineStr"/>
      <c r="G238" s="16" t="inlineStr"/>
      <c r="H238" s="16" t="inlineStr"/>
      <c r="I238" s="16" t="inlineStr"/>
      <c r="J238" s="16" t="inlineStr">
        <is>
          <t>Open</t>
        </is>
      </c>
      <c r="K238" s="16" t="inlineStr">
        <is>
          <t>Medium</t>
        </is>
      </c>
      <c r="L238" s="16" t="inlineStr">
        <is>
          <t>Medium</t>
        </is>
      </c>
      <c r="M238" s="16" t="inlineStr">
        <is>
          <t>Possible</t>
        </is>
      </c>
      <c r="N238" s="21">
        <f>IF(OR(L238="",M238=""),"",IF(L238="Critical",4,IF(L238="High",3,IF(L238="Medium",2,1)))*IF(M238="Almost Certain",5,IF(M238="Likely",4,IF(M238="Possible",3,IF(M238="Unlikely",2,1)))))</f>
        <v/>
      </c>
      <c r="O238" s="20" t="inlineStr"/>
      <c r="P238" s="20" t="inlineStr"/>
      <c r="Q238" s="20" t="inlineStr"/>
      <c r="R238" s="21">
        <f>IF(O238="","",IF(Q238&lt;&gt;"",Q238-O238,TODAY()-O238))</f>
        <v/>
      </c>
      <c r="S238" s="17">
        <f>IF(R238="","",IF(R238&lt;=30,"0-30 Days",IF(R238&lt;=60,"31-60 Days",IF(R238&lt;=90,"61-90 Days",IF(R238&lt;=180,"91-180 Days","181+ Days")))))</f>
        <v/>
      </c>
      <c r="T238" s="16" t="inlineStr">
        <is>
          <t>Medium</t>
        </is>
      </c>
      <c r="U238" s="16" t="inlineStr">
        <is>
          <t>Pending</t>
        </is>
      </c>
      <c r="V238" s="16" t="inlineStr"/>
      <c r="W238" s="16" t="inlineStr"/>
      <c r="X238" s="16" t="inlineStr"/>
    </row>
    <row r="239">
      <c r="A239" s="16" t="inlineStr"/>
      <c r="B239" s="16" t="inlineStr"/>
      <c r="C239" s="17" t="inlineStr"/>
      <c r="D239" s="17" t="inlineStr"/>
      <c r="E239" s="16" t="inlineStr"/>
      <c r="F239" s="16" t="inlineStr"/>
      <c r="G239" s="16" t="inlineStr"/>
      <c r="H239" s="16" t="inlineStr"/>
      <c r="I239" s="16" t="inlineStr"/>
      <c r="J239" s="16" t="inlineStr">
        <is>
          <t>Open</t>
        </is>
      </c>
      <c r="K239" s="16" t="inlineStr">
        <is>
          <t>Medium</t>
        </is>
      </c>
      <c r="L239" s="16" t="inlineStr">
        <is>
          <t>Medium</t>
        </is>
      </c>
      <c r="M239" s="16" t="inlineStr">
        <is>
          <t>Possible</t>
        </is>
      </c>
      <c r="N239" s="21">
        <f>IF(OR(L239="",M239=""),"",IF(L239="Critical",4,IF(L239="High",3,IF(L239="Medium",2,1)))*IF(M239="Almost Certain",5,IF(M239="Likely",4,IF(M239="Possible",3,IF(M239="Unlikely",2,1)))))</f>
        <v/>
      </c>
      <c r="O239" s="20" t="inlineStr"/>
      <c r="P239" s="20" t="inlineStr"/>
      <c r="Q239" s="20" t="inlineStr"/>
      <c r="R239" s="21">
        <f>IF(O239="","",IF(Q239&lt;&gt;"",Q239-O239,TODAY()-O239))</f>
        <v/>
      </c>
      <c r="S239" s="17">
        <f>IF(R239="","",IF(R239&lt;=30,"0-30 Days",IF(R239&lt;=60,"31-60 Days",IF(R239&lt;=90,"61-90 Days",IF(R239&lt;=180,"91-180 Days","181+ Days")))))</f>
        <v/>
      </c>
      <c r="T239" s="16" t="inlineStr">
        <is>
          <t>Medium</t>
        </is>
      </c>
      <c r="U239" s="16" t="inlineStr">
        <is>
          <t>Pending</t>
        </is>
      </c>
      <c r="V239" s="16" t="inlineStr"/>
      <c r="W239" s="16" t="inlineStr"/>
      <c r="X239" s="16" t="inlineStr"/>
    </row>
    <row r="240">
      <c r="A240" s="16" t="inlineStr"/>
      <c r="B240" s="16" t="inlineStr"/>
      <c r="C240" s="17" t="inlineStr"/>
      <c r="D240" s="17" t="inlineStr"/>
      <c r="E240" s="16" t="inlineStr"/>
      <c r="F240" s="16" t="inlineStr"/>
      <c r="G240" s="16" t="inlineStr"/>
      <c r="H240" s="16" t="inlineStr"/>
      <c r="I240" s="16" t="inlineStr"/>
      <c r="J240" s="16" t="inlineStr">
        <is>
          <t>Open</t>
        </is>
      </c>
      <c r="K240" s="16" t="inlineStr">
        <is>
          <t>Medium</t>
        </is>
      </c>
      <c r="L240" s="16" t="inlineStr">
        <is>
          <t>Medium</t>
        </is>
      </c>
      <c r="M240" s="16" t="inlineStr">
        <is>
          <t>Possible</t>
        </is>
      </c>
      <c r="N240" s="21">
        <f>IF(OR(L240="",M240=""),"",IF(L240="Critical",4,IF(L240="High",3,IF(L240="Medium",2,1)))*IF(M240="Almost Certain",5,IF(M240="Likely",4,IF(M240="Possible",3,IF(M240="Unlikely",2,1)))))</f>
        <v/>
      </c>
      <c r="O240" s="20" t="inlineStr"/>
      <c r="P240" s="20" t="inlineStr"/>
      <c r="Q240" s="20" t="inlineStr"/>
      <c r="R240" s="21">
        <f>IF(O240="","",IF(Q240&lt;&gt;"",Q240-O240,TODAY()-O240))</f>
        <v/>
      </c>
      <c r="S240" s="17">
        <f>IF(R240="","",IF(R240&lt;=30,"0-30 Days",IF(R240&lt;=60,"31-60 Days",IF(R240&lt;=90,"61-90 Days",IF(R240&lt;=180,"91-180 Days","181+ Days")))))</f>
        <v/>
      </c>
      <c r="T240" s="16" t="inlineStr">
        <is>
          <t>Medium</t>
        </is>
      </c>
      <c r="U240" s="16" t="inlineStr">
        <is>
          <t>Pending</t>
        </is>
      </c>
      <c r="V240" s="16" t="inlineStr"/>
      <c r="W240" s="16" t="inlineStr"/>
      <c r="X240" s="16" t="inlineStr"/>
    </row>
    <row r="241">
      <c r="A241" s="16" t="inlineStr"/>
      <c r="B241" s="16" t="inlineStr"/>
      <c r="C241" s="17" t="inlineStr"/>
      <c r="D241" s="17" t="inlineStr"/>
      <c r="E241" s="16" t="inlineStr"/>
      <c r="F241" s="16" t="inlineStr"/>
      <c r="G241" s="16" t="inlineStr"/>
      <c r="H241" s="16" t="inlineStr"/>
      <c r="I241" s="16" t="inlineStr"/>
      <c r="J241" s="16" t="inlineStr">
        <is>
          <t>Open</t>
        </is>
      </c>
      <c r="K241" s="16" t="inlineStr">
        <is>
          <t>Medium</t>
        </is>
      </c>
      <c r="L241" s="16" t="inlineStr">
        <is>
          <t>Medium</t>
        </is>
      </c>
      <c r="M241" s="16" t="inlineStr">
        <is>
          <t>Possible</t>
        </is>
      </c>
      <c r="N241" s="21">
        <f>IF(OR(L241="",M241=""),"",IF(L241="Critical",4,IF(L241="High",3,IF(L241="Medium",2,1)))*IF(M241="Almost Certain",5,IF(M241="Likely",4,IF(M241="Possible",3,IF(M241="Unlikely",2,1)))))</f>
        <v/>
      </c>
      <c r="O241" s="20" t="inlineStr"/>
      <c r="P241" s="20" t="inlineStr"/>
      <c r="Q241" s="20" t="inlineStr"/>
      <c r="R241" s="21">
        <f>IF(O241="","",IF(Q241&lt;&gt;"",Q241-O241,TODAY()-O241))</f>
        <v/>
      </c>
      <c r="S241" s="17">
        <f>IF(R241="","",IF(R241&lt;=30,"0-30 Days",IF(R241&lt;=60,"31-60 Days",IF(R241&lt;=90,"61-90 Days",IF(R241&lt;=180,"91-180 Days","181+ Days")))))</f>
        <v/>
      </c>
      <c r="T241" s="16" t="inlineStr">
        <is>
          <t>Medium</t>
        </is>
      </c>
      <c r="U241" s="16" t="inlineStr">
        <is>
          <t>Pending</t>
        </is>
      </c>
      <c r="V241" s="16" t="inlineStr"/>
      <c r="W241" s="16" t="inlineStr"/>
      <c r="X241" s="16" t="inlineStr"/>
    </row>
    <row r="242">
      <c r="A242" s="16" t="inlineStr"/>
      <c r="B242" s="16" t="inlineStr"/>
      <c r="C242" s="17" t="inlineStr"/>
      <c r="D242" s="17" t="inlineStr"/>
      <c r="E242" s="16" t="inlineStr"/>
      <c r="F242" s="16" t="inlineStr"/>
      <c r="G242" s="16" t="inlineStr"/>
      <c r="H242" s="16" t="inlineStr"/>
      <c r="I242" s="16" t="inlineStr"/>
      <c r="J242" s="16" t="inlineStr">
        <is>
          <t>Open</t>
        </is>
      </c>
      <c r="K242" s="16" t="inlineStr">
        <is>
          <t>Medium</t>
        </is>
      </c>
      <c r="L242" s="16" t="inlineStr">
        <is>
          <t>Medium</t>
        </is>
      </c>
      <c r="M242" s="16" t="inlineStr">
        <is>
          <t>Possible</t>
        </is>
      </c>
      <c r="N242" s="21">
        <f>IF(OR(L242="",M242=""),"",IF(L242="Critical",4,IF(L242="High",3,IF(L242="Medium",2,1)))*IF(M242="Almost Certain",5,IF(M242="Likely",4,IF(M242="Possible",3,IF(M242="Unlikely",2,1)))))</f>
        <v/>
      </c>
      <c r="O242" s="20" t="inlineStr"/>
      <c r="P242" s="20" t="inlineStr"/>
      <c r="Q242" s="20" t="inlineStr"/>
      <c r="R242" s="21">
        <f>IF(O242="","",IF(Q242&lt;&gt;"",Q242-O242,TODAY()-O242))</f>
        <v/>
      </c>
      <c r="S242" s="17">
        <f>IF(R242="","",IF(R242&lt;=30,"0-30 Days",IF(R242&lt;=60,"31-60 Days",IF(R242&lt;=90,"61-90 Days",IF(R242&lt;=180,"91-180 Days","181+ Days")))))</f>
        <v/>
      </c>
      <c r="T242" s="16" t="inlineStr">
        <is>
          <t>Medium</t>
        </is>
      </c>
      <c r="U242" s="16" t="inlineStr">
        <is>
          <t>Pending</t>
        </is>
      </c>
      <c r="V242" s="16" t="inlineStr"/>
      <c r="W242" s="16" t="inlineStr"/>
      <c r="X242" s="16" t="inlineStr"/>
    </row>
    <row r="243">
      <c r="A243" s="16" t="inlineStr"/>
      <c r="B243" s="16" t="inlineStr"/>
      <c r="C243" s="17" t="inlineStr"/>
      <c r="D243" s="17" t="inlineStr"/>
      <c r="E243" s="16" t="inlineStr"/>
      <c r="F243" s="16" t="inlineStr"/>
      <c r="G243" s="16" t="inlineStr"/>
      <c r="H243" s="16" t="inlineStr"/>
      <c r="I243" s="16" t="inlineStr"/>
      <c r="J243" s="16" t="inlineStr">
        <is>
          <t>Open</t>
        </is>
      </c>
      <c r="K243" s="16" t="inlineStr">
        <is>
          <t>Medium</t>
        </is>
      </c>
      <c r="L243" s="16" t="inlineStr">
        <is>
          <t>Medium</t>
        </is>
      </c>
      <c r="M243" s="16" t="inlineStr">
        <is>
          <t>Possible</t>
        </is>
      </c>
      <c r="N243" s="21">
        <f>IF(OR(L243="",M243=""),"",IF(L243="Critical",4,IF(L243="High",3,IF(L243="Medium",2,1)))*IF(M243="Almost Certain",5,IF(M243="Likely",4,IF(M243="Possible",3,IF(M243="Unlikely",2,1)))))</f>
        <v/>
      </c>
      <c r="O243" s="20" t="inlineStr"/>
      <c r="P243" s="20" t="inlineStr"/>
      <c r="Q243" s="20" t="inlineStr"/>
      <c r="R243" s="21">
        <f>IF(O243="","",IF(Q243&lt;&gt;"",Q243-O243,TODAY()-O243))</f>
        <v/>
      </c>
      <c r="S243" s="17">
        <f>IF(R243="","",IF(R243&lt;=30,"0-30 Days",IF(R243&lt;=60,"31-60 Days",IF(R243&lt;=90,"61-90 Days",IF(R243&lt;=180,"91-180 Days","181+ Days")))))</f>
        <v/>
      </c>
      <c r="T243" s="16" t="inlineStr">
        <is>
          <t>Medium</t>
        </is>
      </c>
      <c r="U243" s="16" t="inlineStr">
        <is>
          <t>Pending</t>
        </is>
      </c>
      <c r="V243" s="16" t="inlineStr"/>
      <c r="W243" s="16" t="inlineStr"/>
      <c r="X243" s="16" t="inlineStr"/>
    </row>
    <row r="244">
      <c r="A244" s="16" t="inlineStr"/>
      <c r="B244" s="16" t="inlineStr"/>
      <c r="C244" s="17" t="inlineStr"/>
      <c r="D244" s="17" t="inlineStr"/>
      <c r="E244" s="16" t="inlineStr"/>
      <c r="F244" s="16" t="inlineStr"/>
      <c r="G244" s="16" t="inlineStr"/>
      <c r="H244" s="16" t="inlineStr"/>
      <c r="I244" s="16" t="inlineStr"/>
      <c r="J244" s="16" t="inlineStr">
        <is>
          <t>Open</t>
        </is>
      </c>
      <c r="K244" s="16" t="inlineStr">
        <is>
          <t>Medium</t>
        </is>
      </c>
      <c r="L244" s="16" t="inlineStr">
        <is>
          <t>Medium</t>
        </is>
      </c>
      <c r="M244" s="16" t="inlineStr">
        <is>
          <t>Possible</t>
        </is>
      </c>
      <c r="N244" s="21">
        <f>IF(OR(L244="",M244=""),"",IF(L244="Critical",4,IF(L244="High",3,IF(L244="Medium",2,1)))*IF(M244="Almost Certain",5,IF(M244="Likely",4,IF(M244="Possible",3,IF(M244="Unlikely",2,1)))))</f>
        <v/>
      </c>
      <c r="O244" s="20" t="inlineStr"/>
      <c r="P244" s="20" t="inlineStr"/>
      <c r="Q244" s="20" t="inlineStr"/>
      <c r="R244" s="21">
        <f>IF(O244="","",IF(Q244&lt;&gt;"",Q244-O244,TODAY()-O244))</f>
        <v/>
      </c>
      <c r="S244" s="17">
        <f>IF(R244="","",IF(R244&lt;=30,"0-30 Days",IF(R244&lt;=60,"31-60 Days",IF(R244&lt;=90,"61-90 Days",IF(R244&lt;=180,"91-180 Days","181+ Days")))))</f>
        <v/>
      </c>
      <c r="T244" s="16" t="inlineStr">
        <is>
          <t>Medium</t>
        </is>
      </c>
      <c r="U244" s="16" t="inlineStr">
        <is>
          <t>Pending</t>
        </is>
      </c>
      <c r="V244" s="16" t="inlineStr"/>
      <c r="W244" s="16" t="inlineStr"/>
      <c r="X244" s="16" t="inlineStr"/>
    </row>
    <row r="245">
      <c r="A245" s="16" t="inlineStr"/>
      <c r="B245" s="16" t="inlineStr"/>
      <c r="C245" s="17" t="inlineStr"/>
      <c r="D245" s="17" t="inlineStr"/>
      <c r="E245" s="16" t="inlineStr"/>
      <c r="F245" s="16" t="inlineStr"/>
      <c r="G245" s="16" t="inlineStr"/>
      <c r="H245" s="16" t="inlineStr"/>
      <c r="I245" s="16" t="inlineStr"/>
      <c r="J245" s="16" t="inlineStr">
        <is>
          <t>Open</t>
        </is>
      </c>
      <c r="K245" s="16" t="inlineStr">
        <is>
          <t>Medium</t>
        </is>
      </c>
      <c r="L245" s="16" t="inlineStr">
        <is>
          <t>Medium</t>
        </is>
      </c>
      <c r="M245" s="16" t="inlineStr">
        <is>
          <t>Possible</t>
        </is>
      </c>
      <c r="N245" s="21">
        <f>IF(OR(L245="",M245=""),"",IF(L245="Critical",4,IF(L245="High",3,IF(L245="Medium",2,1)))*IF(M245="Almost Certain",5,IF(M245="Likely",4,IF(M245="Possible",3,IF(M245="Unlikely",2,1)))))</f>
        <v/>
      </c>
      <c r="O245" s="20" t="inlineStr"/>
      <c r="P245" s="20" t="inlineStr"/>
      <c r="Q245" s="20" t="inlineStr"/>
      <c r="R245" s="21">
        <f>IF(O245="","",IF(Q245&lt;&gt;"",Q245-O245,TODAY()-O245))</f>
        <v/>
      </c>
      <c r="S245" s="17">
        <f>IF(R245="","",IF(R245&lt;=30,"0-30 Days",IF(R245&lt;=60,"31-60 Days",IF(R245&lt;=90,"61-90 Days",IF(R245&lt;=180,"91-180 Days","181+ Days")))))</f>
        <v/>
      </c>
      <c r="T245" s="16" t="inlineStr">
        <is>
          <t>Medium</t>
        </is>
      </c>
      <c r="U245" s="16" t="inlineStr">
        <is>
          <t>Pending</t>
        </is>
      </c>
      <c r="V245" s="16" t="inlineStr"/>
      <c r="W245" s="16" t="inlineStr"/>
      <c r="X245" s="16" t="inlineStr"/>
    </row>
    <row r="246">
      <c r="A246" s="16" t="inlineStr"/>
      <c r="B246" s="16" t="inlineStr"/>
      <c r="C246" s="17" t="inlineStr"/>
      <c r="D246" s="17" t="inlineStr"/>
      <c r="E246" s="16" t="inlineStr"/>
      <c r="F246" s="16" t="inlineStr"/>
      <c r="G246" s="16" t="inlineStr"/>
      <c r="H246" s="16" t="inlineStr"/>
      <c r="I246" s="16" t="inlineStr"/>
      <c r="J246" s="16" t="inlineStr">
        <is>
          <t>Open</t>
        </is>
      </c>
      <c r="K246" s="16" t="inlineStr">
        <is>
          <t>Medium</t>
        </is>
      </c>
      <c r="L246" s="16" t="inlineStr">
        <is>
          <t>Medium</t>
        </is>
      </c>
      <c r="M246" s="16" t="inlineStr">
        <is>
          <t>Possible</t>
        </is>
      </c>
      <c r="N246" s="21">
        <f>IF(OR(L246="",M246=""),"",IF(L246="Critical",4,IF(L246="High",3,IF(L246="Medium",2,1)))*IF(M246="Almost Certain",5,IF(M246="Likely",4,IF(M246="Possible",3,IF(M246="Unlikely",2,1)))))</f>
        <v/>
      </c>
      <c r="O246" s="20" t="inlineStr"/>
      <c r="P246" s="20" t="inlineStr"/>
      <c r="Q246" s="20" t="inlineStr"/>
      <c r="R246" s="21">
        <f>IF(O246="","",IF(Q246&lt;&gt;"",Q246-O246,TODAY()-O246))</f>
        <v/>
      </c>
      <c r="S246" s="17">
        <f>IF(R246="","",IF(R246&lt;=30,"0-30 Days",IF(R246&lt;=60,"31-60 Days",IF(R246&lt;=90,"61-90 Days",IF(R246&lt;=180,"91-180 Days","181+ Days")))))</f>
        <v/>
      </c>
      <c r="T246" s="16" t="inlineStr">
        <is>
          <t>Medium</t>
        </is>
      </c>
      <c r="U246" s="16" t="inlineStr">
        <is>
          <t>Pending</t>
        </is>
      </c>
      <c r="V246" s="16" t="inlineStr"/>
      <c r="W246" s="16" t="inlineStr"/>
      <c r="X246" s="16" t="inlineStr"/>
    </row>
    <row r="247">
      <c r="A247" s="16" t="inlineStr"/>
      <c r="B247" s="16" t="inlineStr"/>
      <c r="C247" s="17" t="inlineStr"/>
      <c r="D247" s="17" t="inlineStr"/>
      <c r="E247" s="16" t="inlineStr"/>
      <c r="F247" s="16" t="inlineStr"/>
      <c r="G247" s="16" t="inlineStr"/>
      <c r="H247" s="16" t="inlineStr"/>
      <c r="I247" s="16" t="inlineStr"/>
      <c r="J247" s="16" t="inlineStr">
        <is>
          <t>Open</t>
        </is>
      </c>
      <c r="K247" s="16" t="inlineStr">
        <is>
          <t>Medium</t>
        </is>
      </c>
      <c r="L247" s="16" t="inlineStr">
        <is>
          <t>Medium</t>
        </is>
      </c>
      <c r="M247" s="16" t="inlineStr">
        <is>
          <t>Possible</t>
        </is>
      </c>
      <c r="N247" s="21">
        <f>IF(OR(L247="",M247=""),"",IF(L247="Critical",4,IF(L247="High",3,IF(L247="Medium",2,1)))*IF(M247="Almost Certain",5,IF(M247="Likely",4,IF(M247="Possible",3,IF(M247="Unlikely",2,1)))))</f>
        <v/>
      </c>
      <c r="O247" s="20" t="inlineStr"/>
      <c r="P247" s="20" t="inlineStr"/>
      <c r="Q247" s="20" t="inlineStr"/>
      <c r="R247" s="21">
        <f>IF(O247="","",IF(Q247&lt;&gt;"",Q247-O247,TODAY()-O247))</f>
        <v/>
      </c>
      <c r="S247" s="17">
        <f>IF(R247="","",IF(R247&lt;=30,"0-30 Days",IF(R247&lt;=60,"31-60 Days",IF(R247&lt;=90,"61-90 Days",IF(R247&lt;=180,"91-180 Days","181+ Days")))))</f>
        <v/>
      </c>
      <c r="T247" s="16" t="inlineStr">
        <is>
          <t>Medium</t>
        </is>
      </c>
      <c r="U247" s="16" t="inlineStr">
        <is>
          <t>Pending</t>
        </is>
      </c>
      <c r="V247" s="16" t="inlineStr"/>
      <c r="W247" s="16" t="inlineStr"/>
      <c r="X247" s="16" t="inlineStr"/>
    </row>
    <row r="248">
      <c r="A248" s="16" t="inlineStr"/>
      <c r="B248" s="16" t="inlineStr"/>
      <c r="C248" s="17" t="inlineStr"/>
      <c r="D248" s="17" t="inlineStr"/>
      <c r="E248" s="16" t="inlineStr"/>
      <c r="F248" s="16" t="inlineStr"/>
      <c r="G248" s="16" t="inlineStr"/>
      <c r="H248" s="16" t="inlineStr"/>
      <c r="I248" s="16" t="inlineStr"/>
      <c r="J248" s="16" t="inlineStr">
        <is>
          <t>Open</t>
        </is>
      </c>
      <c r="K248" s="16" t="inlineStr">
        <is>
          <t>Medium</t>
        </is>
      </c>
      <c r="L248" s="16" t="inlineStr">
        <is>
          <t>Medium</t>
        </is>
      </c>
      <c r="M248" s="16" t="inlineStr">
        <is>
          <t>Possible</t>
        </is>
      </c>
      <c r="N248" s="21">
        <f>IF(OR(L248="",M248=""),"",IF(L248="Critical",4,IF(L248="High",3,IF(L248="Medium",2,1)))*IF(M248="Almost Certain",5,IF(M248="Likely",4,IF(M248="Possible",3,IF(M248="Unlikely",2,1)))))</f>
        <v/>
      </c>
      <c r="O248" s="20" t="inlineStr"/>
      <c r="P248" s="20" t="inlineStr"/>
      <c r="Q248" s="20" t="inlineStr"/>
      <c r="R248" s="21">
        <f>IF(O248="","",IF(Q248&lt;&gt;"",Q248-O248,TODAY()-O248))</f>
        <v/>
      </c>
      <c r="S248" s="17">
        <f>IF(R248="","",IF(R248&lt;=30,"0-30 Days",IF(R248&lt;=60,"31-60 Days",IF(R248&lt;=90,"61-90 Days",IF(R248&lt;=180,"91-180 Days","181+ Days")))))</f>
        <v/>
      </c>
      <c r="T248" s="16" t="inlineStr">
        <is>
          <t>Medium</t>
        </is>
      </c>
      <c r="U248" s="16" t="inlineStr">
        <is>
          <t>Pending</t>
        </is>
      </c>
      <c r="V248" s="16" t="inlineStr"/>
      <c r="W248" s="16" t="inlineStr"/>
      <c r="X248" s="16" t="inlineStr"/>
    </row>
    <row r="249">
      <c r="A249" s="16" t="inlineStr"/>
      <c r="B249" s="16" t="inlineStr"/>
      <c r="C249" s="17" t="inlineStr"/>
      <c r="D249" s="17" t="inlineStr"/>
      <c r="E249" s="16" t="inlineStr"/>
      <c r="F249" s="16" t="inlineStr"/>
      <c r="G249" s="16" t="inlineStr"/>
      <c r="H249" s="16" t="inlineStr"/>
      <c r="I249" s="16" t="inlineStr"/>
      <c r="J249" s="16" t="inlineStr">
        <is>
          <t>Open</t>
        </is>
      </c>
      <c r="K249" s="16" t="inlineStr">
        <is>
          <t>Medium</t>
        </is>
      </c>
      <c r="L249" s="16" t="inlineStr">
        <is>
          <t>Medium</t>
        </is>
      </c>
      <c r="M249" s="16" t="inlineStr">
        <is>
          <t>Possible</t>
        </is>
      </c>
      <c r="N249" s="21">
        <f>IF(OR(L249="",M249=""),"",IF(L249="Critical",4,IF(L249="High",3,IF(L249="Medium",2,1)))*IF(M249="Almost Certain",5,IF(M249="Likely",4,IF(M249="Possible",3,IF(M249="Unlikely",2,1)))))</f>
        <v/>
      </c>
      <c r="O249" s="20" t="inlineStr"/>
      <c r="P249" s="20" t="inlineStr"/>
      <c r="Q249" s="20" t="inlineStr"/>
      <c r="R249" s="21">
        <f>IF(O249="","",IF(Q249&lt;&gt;"",Q249-O249,TODAY()-O249))</f>
        <v/>
      </c>
      <c r="S249" s="17">
        <f>IF(R249="","",IF(R249&lt;=30,"0-30 Days",IF(R249&lt;=60,"31-60 Days",IF(R249&lt;=90,"61-90 Days",IF(R249&lt;=180,"91-180 Days","181+ Days")))))</f>
        <v/>
      </c>
      <c r="T249" s="16" t="inlineStr">
        <is>
          <t>Medium</t>
        </is>
      </c>
      <c r="U249" s="16" t="inlineStr">
        <is>
          <t>Pending</t>
        </is>
      </c>
      <c r="V249" s="16" t="inlineStr"/>
      <c r="W249" s="16" t="inlineStr"/>
      <c r="X249" s="16" t="inlineStr"/>
    </row>
    <row r="250">
      <c r="A250" s="16" t="inlineStr"/>
      <c r="B250" s="16" t="inlineStr"/>
      <c r="C250" s="17" t="inlineStr"/>
      <c r="D250" s="17" t="inlineStr"/>
      <c r="E250" s="16" t="inlineStr"/>
      <c r="F250" s="16" t="inlineStr"/>
      <c r="G250" s="16" t="inlineStr"/>
      <c r="H250" s="16" t="inlineStr"/>
      <c r="I250" s="16" t="inlineStr"/>
      <c r="J250" s="16" t="inlineStr">
        <is>
          <t>Open</t>
        </is>
      </c>
      <c r="K250" s="16" t="inlineStr">
        <is>
          <t>Medium</t>
        </is>
      </c>
      <c r="L250" s="16" t="inlineStr">
        <is>
          <t>Medium</t>
        </is>
      </c>
      <c r="M250" s="16" t="inlineStr">
        <is>
          <t>Possible</t>
        </is>
      </c>
      <c r="N250" s="21">
        <f>IF(OR(L250="",M250=""),"",IF(L250="Critical",4,IF(L250="High",3,IF(L250="Medium",2,1)))*IF(M250="Almost Certain",5,IF(M250="Likely",4,IF(M250="Possible",3,IF(M250="Unlikely",2,1)))))</f>
        <v/>
      </c>
      <c r="O250" s="20" t="inlineStr"/>
      <c r="P250" s="20" t="inlineStr"/>
      <c r="Q250" s="20" t="inlineStr"/>
      <c r="R250" s="21">
        <f>IF(O250="","",IF(Q250&lt;&gt;"",Q250-O250,TODAY()-O250))</f>
        <v/>
      </c>
      <c r="S250" s="17">
        <f>IF(R250="","",IF(R250&lt;=30,"0-30 Days",IF(R250&lt;=60,"31-60 Days",IF(R250&lt;=90,"61-90 Days",IF(R250&lt;=180,"91-180 Days","181+ Days")))))</f>
        <v/>
      </c>
      <c r="T250" s="16" t="inlineStr">
        <is>
          <t>Medium</t>
        </is>
      </c>
      <c r="U250" s="16" t="inlineStr">
        <is>
          <t>Pending</t>
        </is>
      </c>
      <c r="V250" s="16" t="inlineStr"/>
      <c r="W250" s="16" t="inlineStr"/>
      <c r="X250" s="16" t="inlineStr"/>
    </row>
    <row r="251">
      <c r="A251" s="16" t="inlineStr"/>
      <c r="B251" s="16" t="inlineStr"/>
      <c r="C251" s="17" t="inlineStr"/>
      <c r="D251" s="17" t="inlineStr"/>
      <c r="E251" s="16" t="inlineStr"/>
      <c r="F251" s="16" t="inlineStr"/>
      <c r="G251" s="16" t="inlineStr"/>
      <c r="H251" s="16" t="inlineStr"/>
      <c r="I251" s="16" t="inlineStr"/>
      <c r="J251" s="16" t="inlineStr">
        <is>
          <t>Open</t>
        </is>
      </c>
      <c r="K251" s="16" t="inlineStr">
        <is>
          <t>Medium</t>
        </is>
      </c>
      <c r="L251" s="16" t="inlineStr">
        <is>
          <t>Medium</t>
        </is>
      </c>
      <c r="M251" s="16" t="inlineStr">
        <is>
          <t>Possible</t>
        </is>
      </c>
      <c r="N251" s="21">
        <f>IF(OR(L251="",M251=""),"",IF(L251="Critical",4,IF(L251="High",3,IF(L251="Medium",2,1)))*IF(M251="Almost Certain",5,IF(M251="Likely",4,IF(M251="Possible",3,IF(M251="Unlikely",2,1)))))</f>
        <v/>
      </c>
      <c r="O251" s="20" t="inlineStr"/>
      <c r="P251" s="20" t="inlineStr"/>
      <c r="Q251" s="20" t="inlineStr"/>
      <c r="R251" s="21">
        <f>IF(O251="","",IF(Q251&lt;&gt;"",Q251-O251,TODAY()-O251))</f>
        <v/>
      </c>
      <c r="S251" s="17">
        <f>IF(R251="","",IF(R251&lt;=30,"0-30 Days",IF(R251&lt;=60,"31-60 Days",IF(R251&lt;=90,"61-90 Days",IF(R251&lt;=180,"91-180 Days","181+ Days")))))</f>
        <v/>
      </c>
      <c r="T251" s="16" t="inlineStr">
        <is>
          <t>Medium</t>
        </is>
      </c>
      <c r="U251" s="16" t="inlineStr">
        <is>
          <t>Pending</t>
        </is>
      </c>
      <c r="V251" s="16" t="inlineStr"/>
      <c r="W251" s="16" t="inlineStr"/>
      <c r="X251" s="16" t="inlineStr"/>
    </row>
    <row r="252">
      <c r="A252" s="16" t="inlineStr"/>
      <c r="B252" s="16" t="inlineStr"/>
      <c r="C252" s="17" t="inlineStr"/>
      <c r="D252" s="17" t="inlineStr"/>
      <c r="E252" s="16" t="inlineStr"/>
      <c r="F252" s="16" t="inlineStr"/>
      <c r="G252" s="16" t="inlineStr"/>
      <c r="H252" s="16" t="inlineStr"/>
      <c r="I252" s="16" t="inlineStr"/>
      <c r="J252" s="16" t="inlineStr">
        <is>
          <t>Open</t>
        </is>
      </c>
      <c r="K252" s="16" t="inlineStr">
        <is>
          <t>Medium</t>
        </is>
      </c>
      <c r="L252" s="16" t="inlineStr">
        <is>
          <t>Medium</t>
        </is>
      </c>
      <c r="M252" s="16" t="inlineStr">
        <is>
          <t>Possible</t>
        </is>
      </c>
      <c r="N252" s="21">
        <f>IF(OR(L252="",M252=""),"",IF(L252="Critical",4,IF(L252="High",3,IF(L252="Medium",2,1)))*IF(M252="Almost Certain",5,IF(M252="Likely",4,IF(M252="Possible",3,IF(M252="Unlikely",2,1)))))</f>
        <v/>
      </c>
      <c r="O252" s="20" t="inlineStr"/>
      <c r="P252" s="20" t="inlineStr"/>
      <c r="Q252" s="20" t="inlineStr"/>
      <c r="R252" s="21">
        <f>IF(O252="","",IF(Q252&lt;&gt;"",Q252-O252,TODAY()-O252))</f>
        <v/>
      </c>
      <c r="S252" s="17">
        <f>IF(R252="","",IF(R252&lt;=30,"0-30 Days",IF(R252&lt;=60,"31-60 Days",IF(R252&lt;=90,"61-90 Days",IF(R252&lt;=180,"91-180 Days","181+ Days")))))</f>
        <v/>
      </c>
      <c r="T252" s="16" t="inlineStr">
        <is>
          <t>Medium</t>
        </is>
      </c>
      <c r="U252" s="16" t="inlineStr">
        <is>
          <t>Pending</t>
        </is>
      </c>
      <c r="V252" s="16" t="inlineStr"/>
      <c r="W252" s="16" t="inlineStr"/>
      <c r="X252" s="16" t="inlineStr"/>
    </row>
    <row r="253">
      <c r="A253" s="16" t="inlineStr"/>
      <c r="B253" s="16" t="inlineStr"/>
      <c r="C253" s="17" t="inlineStr"/>
      <c r="D253" s="17" t="inlineStr"/>
      <c r="E253" s="16" t="inlineStr"/>
      <c r="F253" s="16" t="inlineStr"/>
      <c r="G253" s="16" t="inlineStr"/>
      <c r="H253" s="16" t="inlineStr"/>
      <c r="I253" s="16" t="inlineStr"/>
      <c r="J253" s="16" t="inlineStr">
        <is>
          <t>Open</t>
        </is>
      </c>
      <c r="K253" s="16" t="inlineStr">
        <is>
          <t>Medium</t>
        </is>
      </c>
      <c r="L253" s="16" t="inlineStr">
        <is>
          <t>Medium</t>
        </is>
      </c>
      <c r="M253" s="16" t="inlineStr">
        <is>
          <t>Possible</t>
        </is>
      </c>
      <c r="N253" s="21">
        <f>IF(OR(L253="",M253=""),"",IF(L253="Critical",4,IF(L253="High",3,IF(L253="Medium",2,1)))*IF(M253="Almost Certain",5,IF(M253="Likely",4,IF(M253="Possible",3,IF(M253="Unlikely",2,1)))))</f>
        <v/>
      </c>
      <c r="O253" s="20" t="inlineStr"/>
      <c r="P253" s="20" t="inlineStr"/>
      <c r="Q253" s="20" t="inlineStr"/>
      <c r="R253" s="21">
        <f>IF(O253="","",IF(Q253&lt;&gt;"",Q253-O253,TODAY()-O253))</f>
        <v/>
      </c>
      <c r="S253" s="17">
        <f>IF(R253="","",IF(R253&lt;=30,"0-30 Days",IF(R253&lt;=60,"31-60 Days",IF(R253&lt;=90,"61-90 Days",IF(R253&lt;=180,"91-180 Days","181+ Days")))))</f>
        <v/>
      </c>
      <c r="T253" s="16" t="inlineStr">
        <is>
          <t>Medium</t>
        </is>
      </c>
      <c r="U253" s="16" t="inlineStr">
        <is>
          <t>Pending</t>
        </is>
      </c>
      <c r="V253" s="16" t="inlineStr"/>
      <c r="W253" s="16" t="inlineStr"/>
      <c r="X253" s="16" t="inlineStr"/>
    </row>
    <row r="254">
      <c r="A254" s="16" t="inlineStr"/>
      <c r="B254" s="16" t="inlineStr"/>
      <c r="C254" s="17" t="inlineStr"/>
      <c r="D254" s="17" t="inlineStr"/>
      <c r="E254" s="16" t="inlineStr"/>
      <c r="F254" s="16" t="inlineStr"/>
      <c r="G254" s="16" t="inlineStr"/>
      <c r="H254" s="16" t="inlineStr"/>
      <c r="I254" s="16" t="inlineStr"/>
      <c r="J254" s="16" t="inlineStr">
        <is>
          <t>Open</t>
        </is>
      </c>
      <c r="K254" s="16" t="inlineStr">
        <is>
          <t>Medium</t>
        </is>
      </c>
      <c r="L254" s="16" t="inlineStr">
        <is>
          <t>Medium</t>
        </is>
      </c>
      <c r="M254" s="16" t="inlineStr">
        <is>
          <t>Possible</t>
        </is>
      </c>
      <c r="N254" s="21">
        <f>IF(OR(L254="",M254=""),"",IF(L254="Critical",4,IF(L254="High",3,IF(L254="Medium",2,1)))*IF(M254="Almost Certain",5,IF(M254="Likely",4,IF(M254="Possible",3,IF(M254="Unlikely",2,1)))))</f>
        <v/>
      </c>
      <c r="O254" s="20" t="inlineStr"/>
      <c r="P254" s="20" t="inlineStr"/>
      <c r="Q254" s="20" t="inlineStr"/>
      <c r="R254" s="21">
        <f>IF(O254="","",IF(Q254&lt;&gt;"",Q254-O254,TODAY()-O254))</f>
        <v/>
      </c>
      <c r="S254" s="17">
        <f>IF(R254="","",IF(R254&lt;=30,"0-30 Days",IF(R254&lt;=60,"31-60 Days",IF(R254&lt;=90,"61-90 Days",IF(R254&lt;=180,"91-180 Days","181+ Days")))))</f>
        <v/>
      </c>
      <c r="T254" s="16" t="inlineStr">
        <is>
          <t>Medium</t>
        </is>
      </c>
      <c r="U254" s="16" t="inlineStr">
        <is>
          <t>Pending</t>
        </is>
      </c>
      <c r="V254" s="16" t="inlineStr"/>
      <c r="W254" s="16" t="inlineStr"/>
      <c r="X254" s="16" t="inlineStr"/>
    </row>
    <row r="255">
      <c r="A255" s="16" t="inlineStr"/>
      <c r="B255" s="16" t="inlineStr"/>
      <c r="C255" s="17" t="inlineStr"/>
      <c r="D255" s="17" t="inlineStr"/>
      <c r="E255" s="16" t="inlineStr"/>
      <c r="F255" s="16" t="inlineStr"/>
      <c r="G255" s="16" t="inlineStr"/>
      <c r="H255" s="16" t="inlineStr"/>
      <c r="I255" s="16" t="inlineStr"/>
      <c r="J255" s="16" t="inlineStr">
        <is>
          <t>Open</t>
        </is>
      </c>
      <c r="K255" s="16" t="inlineStr">
        <is>
          <t>Medium</t>
        </is>
      </c>
      <c r="L255" s="16" t="inlineStr">
        <is>
          <t>Medium</t>
        </is>
      </c>
      <c r="M255" s="16" t="inlineStr">
        <is>
          <t>Possible</t>
        </is>
      </c>
      <c r="N255" s="21">
        <f>IF(OR(L255="",M255=""),"",IF(L255="Critical",4,IF(L255="High",3,IF(L255="Medium",2,1)))*IF(M255="Almost Certain",5,IF(M255="Likely",4,IF(M255="Possible",3,IF(M255="Unlikely",2,1)))))</f>
        <v/>
      </c>
      <c r="O255" s="20" t="inlineStr"/>
      <c r="P255" s="20" t="inlineStr"/>
      <c r="Q255" s="20" t="inlineStr"/>
      <c r="R255" s="21">
        <f>IF(O255="","",IF(Q255&lt;&gt;"",Q255-O255,TODAY()-O255))</f>
        <v/>
      </c>
      <c r="S255" s="17">
        <f>IF(R255="","",IF(R255&lt;=30,"0-30 Days",IF(R255&lt;=60,"31-60 Days",IF(R255&lt;=90,"61-90 Days",IF(R255&lt;=180,"91-180 Days","181+ Days")))))</f>
        <v/>
      </c>
      <c r="T255" s="16" t="inlineStr">
        <is>
          <t>Medium</t>
        </is>
      </c>
      <c r="U255" s="16" t="inlineStr">
        <is>
          <t>Pending</t>
        </is>
      </c>
      <c r="V255" s="16" t="inlineStr"/>
      <c r="W255" s="16" t="inlineStr"/>
      <c r="X255" s="16" t="inlineStr"/>
    </row>
    <row r="256">
      <c r="A256" s="16" t="inlineStr"/>
      <c r="B256" s="16" t="inlineStr"/>
      <c r="C256" s="17" t="inlineStr"/>
      <c r="D256" s="17" t="inlineStr"/>
      <c r="E256" s="16" t="inlineStr"/>
      <c r="F256" s="16" t="inlineStr"/>
      <c r="G256" s="16" t="inlineStr"/>
      <c r="H256" s="16" t="inlineStr"/>
      <c r="I256" s="16" t="inlineStr"/>
      <c r="J256" s="16" t="inlineStr">
        <is>
          <t>Open</t>
        </is>
      </c>
      <c r="K256" s="16" t="inlineStr">
        <is>
          <t>Medium</t>
        </is>
      </c>
      <c r="L256" s="16" t="inlineStr">
        <is>
          <t>Medium</t>
        </is>
      </c>
      <c r="M256" s="16" t="inlineStr">
        <is>
          <t>Possible</t>
        </is>
      </c>
      <c r="N256" s="21">
        <f>IF(OR(L256="",M256=""),"",IF(L256="Critical",4,IF(L256="High",3,IF(L256="Medium",2,1)))*IF(M256="Almost Certain",5,IF(M256="Likely",4,IF(M256="Possible",3,IF(M256="Unlikely",2,1)))))</f>
        <v/>
      </c>
      <c r="O256" s="20" t="inlineStr"/>
      <c r="P256" s="20" t="inlineStr"/>
      <c r="Q256" s="20" t="inlineStr"/>
      <c r="R256" s="21">
        <f>IF(O256="","",IF(Q256&lt;&gt;"",Q256-O256,TODAY()-O256))</f>
        <v/>
      </c>
      <c r="S256" s="17">
        <f>IF(R256="","",IF(R256&lt;=30,"0-30 Days",IF(R256&lt;=60,"31-60 Days",IF(R256&lt;=90,"61-90 Days",IF(R256&lt;=180,"91-180 Days","181+ Days")))))</f>
        <v/>
      </c>
      <c r="T256" s="16" t="inlineStr">
        <is>
          <t>Medium</t>
        </is>
      </c>
      <c r="U256" s="16" t="inlineStr">
        <is>
          <t>Pending</t>
        </is>
      </c>
      <c r="V256" s="16" t="inlineStr"/>
      <c r="W256" s="16" t="inlineStr"/>
      <c r="X256" s="16" t="inlineStr"/>
    </row>
    <row r="257">
      <c r="A257" s="16" t="inlineStr"/>
      <c r="B257" s="16" t="inlineStr"/>
      <c r="C257" s="17" t="inlineStr"/>
      <c r="D257" s="17" t="inlineStr"/>
      <c r="E257" s="16" t="inlineStr"/>
      <c r="F257" s="16" t="inlineStr"/>
      <c r="G257" s="16" t="inlineStr"/>
      <c r="H257" s="16" t="inlineStr"/>
      <c r="I257" s="16" t="inlineStr"/>
      <c r="J257" s="16" t="inlineStr">
        <is>
          <t>Open</t>
        </is>
      </c>
      <c r="K257" s="16" t="inlineStr">
        <is>
          <t>Medium</t>
        </is>
      </c>
      <c r="L257" s="16" t="inlineStr">
        <is>
          <t>Medium</t>
        </is>
      </c>
      <c r="M257" s="16" t="inlineStr">
        <is>
          <t>Possible</t>
        </is>
      </c>
      <c r="N257" s="21">
        <f>IF(OR(L257="",M257=""),"",IF(L257="Critical",4,IF(L257="High",3,IF(L257="Medium",2,1)))*IF(M257="Almost Certain",5,IF(M257="Likely",4,IF(M257="Possible",3,IF(M257="Unlikely",2,1)))))</f>
        <v/>
      </c>
      <c r="O257" s="20" t="inlineStr"/>
      <c r="P257" s="20" t="inlineStr"/>
      <c r="Q257" s="20" t="inlineStr"/>
      <c r="R257" s="21">
        <f>IF(O257="","",IF(Q257&lt;&gt;"",Q257-O257,TODAY()-O257))</f>
        <v/>
      </c>
      <c r="S257" s="17">
        <f>IF(R257="","",IF(R257&lt;=30,"0-30 Days",IF(R257&lt;=60,"31-60 Days",IF(R257&lt;=90,"61-90 Days",IF(R257&lt;=180,"91-180 Days","181+ Days")))))</f>
        <v/>
      </c>
      <c r="T257" s="16" t="inlineStr">
        <is>
          <t>Medium</t>
        </is>
      </c>
      <c r="U257" s="16" t="inlineStr">
        <is>
          <t>Pending</t>
        </is>
      </c>
      <c r="V257" s="16" t="inlineStr"/>
      <c r="W257" s="16" t="inlineStr"/>
      <c r="X257" s="16" t="inlineStr"/>
    </row>
    <row r="258">
      <c r="A258" s="16" t="inlineStr"/>
      <c r="B258" s="16" t="inlineStr"/>
      <c r="C258" s="17" t="inlineStr"/>
      <c r="D258" s="17" t="inlineStr"/>
      <c r="E258" s="16" t="inlineStr"/>
      <c r="F258" s="16" t="inlineStr"/>
      <c r="G258" s="16" t="inlineStr"/>
      <c r="H258" s="16" t="inlineStr"/>
      <c r="I258" s="16" t="inlineStr"/>
      <c r="J258" s="16" t="inlineStr">
        <is>
          <t>Open</t>
        </is>
      </c>
      <c r="K258" s="16" t="inlineStr">
        <is>
          <t>Medium</t>
        </is>
      </c>
      <c r="L258" s="16" t="inlineStr">
        <is>
          <t>Medium</t>
        </is>
      </c>
      <c r="M258" s="16" t="inlineStr">
        <is>
          <t>Possible</t>
        </is>
      </c>
      <c r="N258" s="21">
        <f>IF(OR(L258="",M258=""),"",IF(L258="Critical",4,IF(L258="High",3,IF(L258="Medium",2,1)))*IF(M258="Almost Certain",5,IF(M258="Likely",4,IF(M258="Possible",3,IF(M258="Unlikely",2,1)))))</f>
        <v/>
      </c>
      <c r="O258" s="20" t="inlineStr"/>
      <c r="P258" s="20" t="inlineStr"/>
      <c r="Q258" s="20" t="inlineStr"/>
      <c r="R258" s="21">
        <f>IF(O258="","",IF(Q258&lt;&gt;"",Q258-O258,TODAY()-O258))</f>
        <v/>
      </c>
      <c r="S258" s="17">
        <f>IF(R258="","",IF(R258&lt;=30,"0-30 Days",IF(R258&lt;=60,"31-60 Days",IF(R258&lt;=90,"61-90 Days",IF(R258&lt;=180,"91-180 Days","181+ Days")))))</f>
        <v/>
      </c>
      <c r="T258" s="16" t="inlineStr">
        <is>
          <t>Medium</t>
        </is>
      </c>
      <c r="U258" s="16" t="inlineStr">
        <is>
          <t>Pending</t>
        </is>
      </c>
      <c r="V258" s="16" t="inlineStr"/>
      <c r="W258" s="16" t="inlineStr"/>
      <c r="X258" s="16" t="inlineStr"/>
    </row>
    <row r="259">
      <c r="A259" s="16" t="inlineStr"/>
      <c r="B259" s="16" t="inlineStr"/>
      <c r="C259" s="17" t="inlineStr"/>
      <c r="D259" s="17" t="inlineStr"/>
      <c r="E259" s="16" t="inlineStr"/>
      <c r="F259" s="16" t="inlineStr"/>
      <c r="G259" s="16" t="inlineStr"/>
      <c r="H259" s="16" t="inlineStr"/>
      <c r="I259" s="16" t="inlineStr"/>
      <c r="J259" s="16" t="inlineStr">
        <is>
          <t>Open</t>
        </is>
      </c>
      <c r="K259" s="16" t="inlineStr">
        <is>
          <t>Medium</t>
        </is>
      </c>
      <c r="L259" s="16" t="inlineStr">
        <is>
          <t>Medium</t>
        </is>
      </c>
      <c r="M259" s="16" t="inlineStr">
        <is>
          <t>Possible</t>
        </is>
      </c>
      <c r="N259" s="21">
        <f>IF(OR(L259="",M259=""),"",IF(L259="Critical",4,IF(L259="High",3,IF(L259="Medium",2,1)))*IF(M259="Almost Certain",5,IF(M259="Likely",4,IF(M259="Possible",3,IF(M259="Unlikely",2,1)))))</f>
        <v/>
      </c>
      <c r="O259" s="20" t="inlineStr"/>
      <c r="P259" s="20" t="inlineStr"/>
      <c r="Q259" s="20" t="inlineStr"/>
      <c r="R259" s="21">
        <f>IF(O259="","",IF(Q259&lt;&gt;"",Q259-O259,TODAY()-O259))</f>
        <v/>
      </c>
      <c r="S259" s="17">
        <f>IF(R259="","",IF(R259&lt;=30,"0-30 Days",IF(R259&lt;=60,"31-60 Days",IF(R259&lt;=90,"61-90 Days",IF(R259&lt;=180,"91-180 Days","181+ Days")))))</f>
        <v/>
      </c>
      <c r="T259" s="16" t="inlineStr">
        <is>
          <t>Medium</t>
        </is>
      </c>
      <c r="U259" s="16" t="inlineStr">
        <is>
          <t>Pending</t>
        </is>
      </c>
      <c r="V259" s="16" t="inlineStr"/>
      <c r="W259" s="16" t="inlineStr"/>
      <c r="X259" s="16" t="inlineStr"/>
    </row>
    <row r="260">
      <c r="A260" s="16" t="inlineStr"/>
      <c r="B260" s="16" t="inlineStr"/>
      <c r="C260" s="17" t="inlineStr"/>
      <c r="D260" s="17" t="inlineStr"/>
      <c r="E260" s="16" t="inlineStr"/>
      <c r="F260" s="16" t="inlineStr"/>
      <c r="G260" s="16" t="inlineStr"/>
      <c r="H260" s="16" t="inlineStr"/>
      <c r="I260" s="16" t="inlineStr"/>
      <c r="J260" s="16" t="inlineStr">
        <is>
          <t>Open</t>
        </is>
      </c>
      <c r="K260" s="16" t="inlineStr">
        <is>
          <t>Medium</t>
        </is>
      </c>
      <c r="L260" s="16" t="inlineStr">
        <is>
          <t>Medium</t>
        </is>
      </c>
      <c r="M260" s="16" t="inlineStr">
        <is>
          <t>Possible</t>
        </is>
      </c>
      <c r="N260" s="21">
        <f>IF(OR(L260="",M260=""),"",IF(L260="Critical",4,IF(L260="High",3,IF(L260="Medium",2,1)))*IF(M260="Almost Certain",5,IF(M260="Likely",4,IF(M260="Possible",3,IF(M260="Unlikely",2,1)))))</f>
        <v/>
      </c>
      <c r="O260" s="20" t="inlineStr"/>
      <c r="P260" s="20" t="inlineStr"/>
      <c r="Q260" s="20" t="inlineStr"/>
      <c r="R260" s="21">
        <f>IF(O260="","",IF(Q260&lt;&gt;"",Q260-O260,TODAY()-O260))</f>
        <v/>
      </c>
      <c r="S260" s="17">
        <f>IF(R260="","",IF(R260&lt;=30,"0-30 Days",IF(R260&lt;=60,"31-60 Days",IF(R260&lt;=90,"61-90 Days",IF(R260&lt;=180,"91-180 Days","181+ Days")))))</f>
        <v/>
      </c>
      <c r="T260" s="16" t="inlineStr">
        <is>
          <t>Medium</t>
        </is>
      </c>
      <c r="U260" s="16" t="inlineStr">
        <is>
          <t>Pending</t>
        </is>
      </c>
      <c r="V260" s="16" t="inlineStr"/>
      <c r="W260" s="16" t="inlineStr"/>
      <c r="X260" s="16" t="inlineStr"/>
    </row>
    <row r="261">
      <c r="A261" s="16" t="inlineStr"/>
      <c r="B261" s="16" t="inlineStr"/>
      <c r="C261" s="17" t="inlineStr"/>
      <c r="D261" s="17" t="inlineStr"/>
      <c r="E261" s="16" t="inlineStr"/>
      <c r="F261" s="16" t="inlineStr"/>
      <c r="G261" s="16" t="inlineStr"/>
      <c r="H261" s="16" t="inlineStr"/>
      <c r="I261" s="16" t="inlineStr"/>
      <c r="J261" s="16" t="inlineStr">
        <is>
          <t>Open</t>
        </is>
      </c>
      <c r="K261" s="16" t="inlineStr">
        <is>
          <t>Medium</t>
        </is>
      </c>
      <c r="L261" s="16" t="inlineStr">
        <is>
          <t>Medium</t>
        </is>
      </c>
      <c r="M261" s="16" t="inlineStr">
        <is>
          <t>Possible</t>
        </is>
      </c>
      <c r="N261" s="21">
        <f>IF(OR(L261="",M261=""),"",IF(L261="Critical",4,IF(L261="High",3,IF(L261="Medium",2,1)))*IF(M261="Almost Certain",5,IF(M261="Likely",4,IF(M261="Possible",3,IF(M261="Unlikely",2,1)))))</f>
        <v/>
      </c>
      <c r="O261" s="20" t="inlineStr"/>
      <c r="P261" s="20" t="inlineStr"/>
      <c r="Q261" s="20" t="inlineStr"/>
      <c r="R261" s="21">
        <f>IF(O261="","",IF(Q261&lt;&gt;"",Q261-O261,TODAY()-O261))</f>
        <v/>
      </c>
      <c r="S261" s="17">
        <f>IF(R261="","",IF(R261&lt;=30,"0-30 Days",IF(R261&lt;=60,"31-60 Days",IF(R261&lt;=90,"61-90 Days",IF(R261&lt;=180,"91-180 Days","181+ Days")))))</f>
        <v/>
      </c>
      <c r="T261" s="16" t="inlineStr">
        <is>
          <t>Medium</t>
        </is>
      </c>
      <c r="U261" s="16" t="inlineStr">
        <is>
          <t>Pending</t>
        </is>
      </c>
      <c r="V261" s="16" t="inlineStr"/>
      <c r="W261" s="16" t="inlineStr"/>
      <c r="X261" s="16" t="inlineStr"/>
    </row>
    <row r="262">
      <c r="A262" s="16" t="inlineStr"/>
      <c r="B262" s="16" t="inlineStr"/>
      <c r="C262" s="17" t="inlineStr"/>
      <c r="D262" s="17" t="inlineStr"/>
      <c r="E262" s="16" t="inlineStr"/>
      <c r="F262" s="16" t="inlineStr"/>
      <c r="G262" s="16" t="inlineStr"/>
      <c r="H262" s="16" t="inlineStr"/>
      <c r="I262" s="16" t="inlineStr"/>
      <c r="J262" s="16" t="inlineStr">
        <is>
          <t>Open</t>
        </is>
      </c>
      <c r="K262" s="16" t="inlineStr">
        <is>
          <t>Medium</t>
        </is>
      </c>
      <c r="L262" s="16" t="inlineStr">
        <is>
          <t>Medium</t>
        </is>
      </c>
      <c r="M262" s="16" t="inlineStr">
        <is>
          <t>Possible</t>
        </is>
      </c>
      <c r="N262" s="21">
        <f>IF(OR(L262="",M262=""),"",IF(L262="Critical",4,IF(L262="High",3,IF(L262="Medium",2,1)))*IF(M262="Almost Certain",5,IF(M262="Likely",4,IF(M262="Possible",3,IF(M262="Unlikely",2,1)))))</f>
        <v/>
      </c>
      <c r="O262" s="20" t="inlineStr"/>
      <c r="P262" s="20" t="inlineStr"/>
      <c r="Q262" s="20" t="inlineStr"/>
      <c r="R262" s="21">
        <f>IF(O262="","",IF(Q262&lt;&gt;"",Q262-O262,TODAY()-O262))</f>
        <v/>
      </c>
      <c r="S262" s="17">
        <f>IF(R262="","",IF(R262&lt;=30,"0-30 Days",IF(R262&lt;=60,"31-60 Days",IF(R262&lt;=90,"61-90 Days",IF(R262&lt;=180,"91-180 Days","181+ Days")))))</f>
        <v/>
      </c>
      <c r="T262" s="16" t="inlineStr">
        <is>
          <t>Medium</t>
        </is>
      </c>
      <c r="U262" s="16" t="inlineStr">
        <is>
          <t>Pending</t>
        </is>
      </c>
      <c r="V262" s="16" t="inlineStr"/>
      <c r="W262" s="16" t="inlineStr"/>
      <c r="X262" s="16" t="inlineStr"/>
    </row>
    <row r="263">
      <c r="A263" s="16" t="inlineStr"/>
      <c r="B263" s="16" t="inlineStr"/>
      <c r="C263" s="17" t="inlineStr"/>
      <c r="D263" s="17" t="inlineStr"/>
      <c r="E263" s="16" t="inlineStr"/>
      <c r="F263" s="16" t="inlineStr"/>
      <c r="G263" s="16" t="inlineStr"/>
      <c r="H263" s="16" t="inlineStr"/>
      <c r="I263" s="16" t="inlineStr"/>
      <c r="J263" s="16" t="inlineStr">
        <is>
          <t>Open</t>
        </is>
      </c>
      <c r="K263" s="16" t="inlineStr">
        <is>
          <t>Medium</t>
        </is>
      </c>
      <c r="L263" s="16" t="inlineStr">
        <is>
          <t>Medium</t>
        </is>
      </c>
      <c r="M263" s="16" t="inlineStr">
        <is>
          <t>Possible</t>
        </is>
      </c>
      <c r="N263" s="21">
        <f>IF(OR(L263="",M263=""),"",IF(L263="Critical",4,IF(L263="High",3,IF(L263="Medium",2,1)))*IF(M263="Almost Certain",5,IF(M263="Likely",4,IF(M263="Possible",3,IF(M263="Unlikely",2,1)))))</f>
        <v/>
      </c>
      <c r="O263" s="20" t="inlineStr"/>
      <c r="P263" s="20" t="inlineStr"/>
      <c r="Q263" s="20" t="inlineStr"/>
      <c r="R263" s="21">
        <f>IF(O263="","",IF(Q263&lt;&gt;"",Q263-O263,TODAY()-O263))</f>
        <v/>
      </c>
      <c r="S263" s="17">
        <f>IF(R263="","",IF(R263&lt;=30,"0-30 Days",IF(R263&lt;=60,"31-60 Days",IF(R263&lt;=90,"61-90 Days",IF(R263&lt;=180,"91-180 Days","181+ Days")))))</f>
        <v/>
      </c>
      <c r="T263" s="16" t="inlineStr">
        <is>
          <t>Medium</t>
        </is>
      </c>
      <c r="U263" s="16" t="inlineStr">
        <is>
          <t>Pending</t>
        </is>
      </c>
      <c r="V263" s="16" t="inlineStr"/>
      <c r="W263" s="16" t="inlineStr"/>
      <c r="X263" s="16" t="inlineStr"/>
    </row>
    <row r="264">
      <c r="A264" s="16" t="inlineStr"/>
      <c r="B264" s="16" t="inlineStr"/>
      <c r="C264" s="17" t="inlineStr"/>
      <c r="D264" s="17" t="inlineStr"/>
      <c r="E264" s="16" t="inlineStr"/>
      <c r="F264" s="16" t="inlineStr"/>
      <c r="G264" s="16" t="inlineStr"/>
      <c r="H264" s="16" t="inlineStr"/>
      <c r="I264" s="16" t="inlineStr"/>
      <c r="J264" s="16" t="inlineStr">
        <is>
          <t>Open</t>
        </is>
      </c>
      <c r="K264" s="16" t="inlineStr">
        <is>
          <t>Medium</t>
        </is>
      </c>
      <c r="L264" s="16" t="inlineStr">
        <is>
          <t>Medium</t>
        </is>
      </c>
      <c r="M264" s="16" t="inlineStr">
        <is>
          <t>Possible</t>
        </is>
      </c>
      <c r="N264" s="21">
        <f>IF(OR(L264="",M264=""),"",IF(L264="Critical",4,IF(L264="High",3,IF(L264="Medium",2,1)))*IF(M264="Almost Certain",5,IF(M264="Likely",4,IF(M264="Possible",3,IF(M264="Unlikely",2,1)))))</f>
        <v/>
      </c>
      <c r="O264" s="20" t="inlineStr"/>
      <c r="P264" s="20" t="inlineStr"/>
      <c r="Q264" s="20" t="inlineStr"/>
      <c r="R264" s="21">
        <f>IF(O264="","",IF(Q264&lt;&gt;"",Q264-O264,TODAY()-O264))</f>
        <v/>
      </c>
      <c r="S264" s="17">
        <f>IF(R264="","",IF(R264&lt;=30,"0-30 Days",IF(R264&lt;=60,"31-60 Days",IF(R264&lt;=90,"61-90 Days",IF(R264&lt;=180,"91-180 Days","181+ Days")))))</f>
        <v/>
      </c>
      <c r="T264" s="16" t="inlineStr">
        <is>
          <t>Medium</t>
        </is>
      </c>
      <c r="U264" s="16" t="inlineStr">
        <is>
          <t>Pending</t>
        </is>
      </c>
      <c r="V264" s="16" t="inlineStr"/>
      <c r="W264" s="16" t="inlineStr"/>
      <c r="X264" s="16" t="inlineStr"/>
    </row>
    <row r="265">
      <c r="A265" s="16" t="inlineStr"/>
      <c r="B265" s="16" t="inlineStr"/>
      <c r="C265" s="17" t="inlineStr"/>
      <c r="D265" s="17" t="inlineStr"/>
      <c r="E265" s="16" t="inlineStr"/>
      <c r="F265" s="16" t="inlineStr"/>
      <c r="G265" s="16" t="inlineStr"/>
      <c r="H265" s="16" t="inlineStr"/>
      <c r="I265" s="16" t="inlineStr"/>
      <c r="J265" s="16" t="inlineStr">
        <is>
          <t>Open</t>
        </is>
      </c>
      <c r="K265" s="16" t="inlineStr">
        <is>
          <t>Medium</t>
        </is>
      </c>
      <c r="L265" s="16" t="inlineStr">
        <is>
          <t>Medium</t>
        </is>
      </c>
      <c r="M265" s="16" t="inlineStr">
        <is>
          <t>Possible</t>
        </is>
      </c>
      <c r="N265" s="21">
        <f>IF(OR(L265="",M265=""),"",IF(L265="Critical",4,IF(L265="High",3,IF(L265="Medium",2,1)))*IF(M265="Almost Certain",5,IF(M265="Likely",4,IF(M265="Possible",3,IF(M265="Unlikely",2,1)))))</f>
        <v/>
      </c>
      <c r="O265" s="20" t="inlineStr"/>
      <c r="P265" s="20" t="inlineStr"/>
      <c r="Q265" s="20" t="inlineStr"/>
      <c r="R265" s="21">
        <f>IF(O265="","",IF(Q265&lt;&gt;"",Q265-O265,TODAY()-O265))</f>
        <v/>
      </c>
      <c r="S265" s="17">
        <f>IF(R265="","",IF(R265&lt;=30,"0-30 Days",IF(R265&lt;=60,"31-60 Days",IF(R265&lt;=90,"61-90 Days",IF(R265&lt;=180,"91-180 Days","181+ Days")))))</f>
        <v/>
      </c>
      <c r="T265" s="16" t="inlineStr">
        <is>
          <t>Medium</t>
        </is>
      </c>
      <c r="U265" s="16" t="inlineStr">
        <is>
          <t>Pending</t>
        </is>
      </c>
      <c r="V265" s="16" t="inlineStr"/>
      <c r="W265" s="16" t="inlineStr"/>
      <c r="X265" s="16" t="inlineStr"/>
    </row>
    <row r="266">
      <c r="A266" s="16" t="inlineStr"/>
      <c r="B266" s="16" t="inlineStr"/>
      <c r="C266" s="17" t="inlineStr"/>
      <c r="D266" s="17" t="inlineStr"/>
      <c r="E266" s="16" t="inlineStr"/>
      <c r="F266" s="16" t="inlineStr"/>
      <c r="G266" s="16" t="inlineStr"/>
      <c r="H266" s="16" t="inlineStr"/>
      <c r="I266" s="16" t="inlineStr"/>
      <c r="J266" s="16" t="inlineStr">
        <is>
          <t>Open</t>
        </is>
      </c>
      <c r="K266" s="16" t="inlineStr">
        <is>
          <t>Medium</t>
        </is>
      </c>
      <c r="L266" s="16" t="inlineStr">
        <is>
          <t>Medium</t>
        </is>
      </c>
      <c r="M266" s="16" t="inlineStr">
        <is>
          <t>Possible</t>
        </is>
      </c>
      <c r="N266" s="21">
        <f>IF(OR(L266="",M266=""),"",IF(L266="Critical",4,IF(L266="High",3,IF(L266="Medium",2,1)))*IF(M266="Almost Certain",5,IF(M266="Likely",4,IF(M266="Possible",3,IF(M266="Unlikely",2,1)))))</f>
        <v/>
      </c>
      <c r="O266" s="20" t="inlineStr"/>
      <c r="P266" s="20" t="inlineStr"/>
      <c r="Q266" s="20" t="inlineStr"/>
      <c r="R266" s="21">
        <f>IF(O266="","",IF(Q266&lt;&gt;"",Q266-O266,TODAY()-O266))</f>
        <v/>
      </c>
      <c r="S266" s="17">
        <f>IF(R266="","",IF(R266&lt;=30,"0-30 Days",IF(R266&lt;=60,"31-60 Days",IF(R266&lt;=90,"61-90 Days",IF(R266&lt;=180,"91-180 Days","181+ Days")))))</f>
        <v/>
      </c>
      <c r="T266" s="16" t="inlineStr">
        <is>
          <t>Medium</t>
        </is>
      </c>
      <c r="U266" s="16" t="inlineStr">
        <is>
          <t>Pending</t>
        </is>
      </c>
      <c r="V266" s="16" t="inlineStr"/>
      <c r="W266" s="16" t="inlineStr"/>
      <c r="X266" s="16" t="inlineStr"/>
    </row>
    <row r="267">
      <c r="A267" s="16" t="inlineStr"/>
      <c r="B267" s="16" t="inlineStr"/>
      <c r="C267" s="17" t="inlineStr"/>
      <c r="D267" s="17" t="inlineStr"/>
      <c r="E267" s="16" t="inlineStr"/>
      <c r="F267" s="16" t="inlineStr"/>
      <c r="G267" s="16" t="inlineStr"/>
      <c r="H267" s="16" t="inlineStr"/>
      <c r="I267" s="16" t="inlineStr"/>
      <c r="J267" s="16" t="inlineStr">
        <is>
          <t>Open</t>
        </is>
      </c>
      <c r="K267" s="16" t="inlineStr">
        <is>
          <t>Medium</t>
        </is>
      </c>
      <c r="L267" s="16" t="inlineStr">
        <is>
          <t>Medium</t>
        </is>
      </c>
      <c r="M267" s="16" t="inlineStr">
        <is>
          <t>Possible</t>
        </is>
      </c>
      <c r="N267" s="21">
        <f>IF(OR(L267="",M267=""),"",IF(L267="Critical",4,IF(L267="High",3,IF(L267="Medium",2,1)))*IF(M267="Almost Certain",5,IF(M267="Likely",4,IF(M267="Possible",3,IF(M267="Unlikely",2,1)))))</f>
        <v/>
      </c>
      <c r="O267" s="20" t="inlineStr"/>
      <c r="P267" s="20" t="inlineStr"/>
      <c r="Q267" s="20" t="inlineStr"/>
      <c r="R267" s="21">
        <f>IF(O267="","",IF(Q267&lt;&gt;"",Q267-O267,TODAY()-O267))</f>
        <v/>
      </c>
      <c r="S267" s="17">
        <f>IF(R267="","",IF(R267&lt;=30,"0-30 Days",IF(R267&lt;=60,"31-60 Days",IF(R267&lt;=90,"61-90 Days",IF(R267&lt;=180,"91-180 Days","181+ Days")))))</f>
        <v/>
      </c>
      <c r="T267" s="16" t="inlineStr">
        <is>
          <t>Medium</t>
        </is>
      </c>
      <c r="U267" s="16" t="inlineStr">
        <is>
          <t>Pending</t>
        </is>
      </c>
      <c r="V267" s="16" t="inlineStr"/>
      <c r="W267" s="16" t="inlineStr"/>
      <c r="X267" s="16" t="inlineStr"/>
    </row>
    <row r="268">
      <c r="A268" s="16" t="inlineStr"/>
      <c r="B268" s="16" t="inlineStr"/>
      <c r="C268" s="17" t="inlineStr"/>
      <c r="D268" s="17" t="inlineStr"/>
      <c r="E268" s="16" t="inlineStr"/>
      <c r="F268" s="16" t="inlineStr"/>
      <c r="G268" s="16" t="inlineStr"/>
      <c r="H268" s="16" t="inlineStr"/>
      <c r="I268" s="16" t="inlineStr"/>
      <c r="J268" s="16" t="inlineStr">
        <is>
          <t>Open</t>
        </is>
      </c>
      <c r="K268" s="16" t="inlineStr">
        <is>
          <t>Medium</t>
        </is>
      </c>
      <c r="L268" s="16" t="inlineStr">
        <is>
          <t>Medium</t>
        </is>
      </c>
      <c r="M268" s="16" t="inlineStr">
        <is>
          <t>Possible</t>
        </is>
      </c>
      <c r="N268" s="21">
        <f>IF(OR(L268="",M268=""),"",IF(L268="Critical",4,IF(L268="High",3,IF(L268="Medium",2,1)))*IF(M268="Almost Certain",5,IF(M268="Likely",4,IF(M268="Possible",3,IF(M268="Unlikely",2,1)))))</f>
        <v/>
      </c>
      <c r="O268" s="20" t="inlineStr"/>
      <c r="P268" s="20" t="inlineStr"/>
      <c r="Q268" s="20" t="inlineStr"/>
      <c r="R268" s="21">
        <f>IF(O268="","",IF(Q268&lt;&gt;"",Q268-O268,TODAY()-O268))</f>
        <v/>
      </c>
      <c r="S268" s="17">
        <f>IF(R268="","",IF(R268&lt;=30,"0-30 Days",IF(R268&lt;=60,"31-60 Days",IF(R268&lt;=90,"61-90 Days",IF(R268&lt;=180,"91-180 Days","181+ Days")))))</f>
        <v/>
      </c>
      <c r="T268" s="16" t="inlineStr">
        <is>
          <t>Medium</t>
        </is>
      </c>
      <c r="U268" s="16" t="inlineStr">
        <is>
          <t>Pending</t>
        </is>
      </c>
      <c r="V268" s="16" t="inlineStr"/>
      <c r="W268" s="16" t="inlineStr"/>
      <c r="X268" s="16" t="inlineStr"/>
    </row>
    <row r="269">
      <c r="A269" s="16" t="inlineStr"/>
      <c r="B269" s="16" t="inlineStr"/>
      <c r="C269" s="17" t="inlineStr"/>
      <c r="D269" s="17" t="inlineStr"/>
      <c r="E269" s="16" t="inlineStr"/>
      <c r="F269" s="16" t="inlineStr"/>
      <c r="G269" s="16" t="inlineStr"/>
      <c r="H269" s="16" t="inlineStr"/>
      <c r="I269" s="16" t="inlineStr"/>
      <c r="J269" s="16" t="inlineStr">
        <is>
          <t>Open</t>
        </is>
      </c>
      <c r="K269" s="16" t="inlineStr">
        <is>
          <t>Medium</t>
        </is>
      </c>
      <c r="L269" s="16" t="inlineStr">
        <is>
          <t>Medium</t>
        </is>
      </c>
      <c r="M269" s="16" t="inlineStr">
        <is>
          <t>Possible</t>
        </is>
      </c>
      <c r="N269" s="21">
        <f>IF(OR(L269="",M269=""),"",IF(L269="Critical",4,IF(L269="High",3,IF(L269="Medium",2,1)))*IF(M269="Almost Certain",5,IF(M269="Likely",4,IF(M269="Possible",3,IF(M269="Unlikely",2,1)))))</f>
        <v/>
      </c>
      <c r="O269" s="20" t="inlineStr"/>
      <c r="P269" s="20" t="inlineStr"/>
      <c r="Q269" s="20" t="inlineStr"/>
      <c r="R269" s="21">
        <f>IF(O269="","",IF(Q269&lt;&gt;"",Q269-O269,TODAY()-O269))</f>
        <v/>
      </c>
      <c r="S269" s="17">
        <f>IF(R269="","",IF(R269&lt;=30,"0-30 Days",IF(R269&lt;=60,"31-60 Days",IF(R269&lt;=90,"61-90 Days",IF(R269&lt;=180,"91-180 Days","181+ Days")))))</f>
        <v/>
      </c>
      <c r="T269" s="16" t="inlineStr">
        <is>
          <t>Medium</t>
        </is>
      </c>
      <c r="U269" s="16" t="inlineStr">
        <is>
          <t>Pending</t>
        </is>
      </c>
      <c r="V269" s="16" t="inlineStr"/>
      <c r="W269" s="16" t="inlineStr"/>
      <c r="X269" s="16" t="inlineStr"/>
    </row>
    <row r="270">
      <c r="A270" s="16" t="inlineStr"/>
      <c r="B270" s="16" t="inlineStr"/>
      <c r="C270" s="17" t="inlineStr"/>
      <c r="D270" s="17" t="inlineStr"/>
      <c r="E270" s="16" t="inlineStr"/>
      <c r="F270" s="16" t="inlineStr"/>
      <c r="G270" s="16" t="inlineStr"/>
      <c r="H270" s="16" t="inlineStr"/>
      <c r="I270" s="16" t="inlineStr"/>
      <c r="J270" s="16" t="inlineStr">
        <is>
          <t>Open</t>
        </is>
      </c>
      <c r="K270" s="16" t="inlineStr">
        <is>
          <t>Medium</t>
        </is>
      </c>
      <c r="L270" s="16" t="inlineStr">
        <is>
          <t>Medium</t>
        </is>
      </c>
      <c r="M270" s="16" t="inlineStr">
        <is>
          <t>Possible</t>
        </is>
      </c>
      <c r="N270" s="21">
        <f>IF(OR(L270="",M270=""),"",IF(L270="Critical",4,IF(L270="High",3,IF(L270="Medium",2,1)))*IF(M270="Almost Certain",5,IF(M270="Likely",4,IF(M270="Possible",3,IF(M270="Unlikely",2,1)))))</f>
        <v/>
      </c>
      <c r="O270" s="20" t="inlineStr"/>
      <c r="P270" s="20" t="inlineStr"/>
      <c r="Q270" s="20" t="inlineStr"/>
      <c r="R270" s="21">
        <f>IF(O270="","",IF(Q270&lt;&gt;"",Q270-O270,TODAY()-O270))</f>
        <v/>
      </c>
      <c r="S270" s="17">
        <f>IF(R270="","",IF(R270&lt;=30,"0-30 Days",IF(R270&lt;=60,"31-60 Days",IF(R270&lt;=90,"61-90 Days",IF(R270&lt;=180,"91-180 Days","181+ Days")))))</f>
        <v/>
      </c>
      <c r="T270" s="16" t="inlineStr">
        <is>
          <t>Medium</t>
        </is>
      </c>
      <c r="U270" s="16" t="inlineStr">
        <is>
          <t>Pending</t>
        </is>
      </c>
      <c r="V270" s="16" t="inlineStr"/>
      <c r="W270" s="16" t="inlineStr"/>
      <c r="X270" s="16" t="inlineStr"/>
    </row>
    <row r="271">
      <c r="A271" s="16" t="inlineStr"/>
      <c r="B271" s="16" t="inlineStr"/>
      <c r="C271" s="17" t="inlineStr"/>
      <c r="D271" s="17" t="inlineStr"/>
      <c r="E271" s="16" t="inlineStr"/>
      <c r="F271" s="16" t="inlineStr"/>
      <c r="G271" s="16" t="inlineStr"/>
      <c r="H271" s="16" t="inlineStr"/>
      <c r="I271" s="16" t="inlineStr"/>
      <c r="J271" s="16" t="inlineStr">
        <is>
          <t>Open</t>
        </is>
      </c>
      <c r="K271" s="16" t="inlineStr">
        <is>
          <t>Medium</t>
        </is>
      </c>
      <c r="L271" s="16" t="inlineStr">
        <is>
          <t>Medium</t>
        </is>
      </c>
      <c r="M271" s="16" t="inlineStr">
        <is>
          <t>Possible</t>
        </is>
      </c>
      <c r="N271" s="21">
        <f>IF(OR(L271="",M271=""),"",IF(L271="Critical",4,IF(L271="High",3,IF(L271="Medium",2,1)))*IF(M271="Almost Certain",5,IF(M271="Likely",4,IF(M271="Possible",3,IF(M271="Unlikely",2,1)))))</f>
        <v/>
      </c>
      <c r="O271" s="20" t="inlineStr"/>
      <c r="P271" s="20" t="inlineStr"/>
      <c r="Q271" s="20" t="inlineStr"/>
      <c r="R271" s="21">
        <f>IF(O271="","",IF(Q271&lt;&gt;"",Q271-O271,TODAY()-O271))</f>
        <v/>
      </c>
      <c r="S271" s="17">
        <f>IF(R271="","",IF(R271&lt;=30,"0-30 Days",IF(R271&lt;=60,"31-60 Days",IF(R271&lt;=90,"61-90 Days",IF(R271&lt;=180,"91-180 Days","181+ Days")))))</f>
        <v/>
      </c>
      <c r="T271" s="16" t="inlineStr">
        <is>
          <t>Medium</t>
        </is>
      </c>
      <c r="U271" s="16" t="inlineStr">
        <is>
          <t>Pending</t>
        </is>
      </c>
      <c r="V271" s="16" t="inlineStr"/>
      <c r="W271" s="16" t="inlineStr"/>
      <c r="X271" s="16" t="inlineStr"/>
    </row>
    <row r="272">
      <c r="A272" s="16" t="inlineStr"/>
      <c r="B272" s="16" t="inlineStr"/>
      <c r="C272" s="17" t="inlineStr"/>
      <c r="D272" s="17" t="inlineStr"/>
      <c r="E272" s="16" t="inlineStr"/>
      <c r="F272" s="16" t="inlineStr"/>
      <c r="G272" s="16" t="inlineStr"/>
      <c r="H272" s="16" t="inlineStr"/>
      <c r="I272" s="16" t="inlineStr"/>
      <c r="J272" s="16" t="inlineStr">
        <is>
          <t>Open</t>
        </is>
      </c>
      <c r="K272" s="16" t="inlineStr">
        <is>
          <t>Medium</t>
        </is>
      </c>
      <c r="L272" s="16" t="inlineStr">
        <is>
          <t>Medium</t>
        </is>
      </c>
      <c r="M272" s="16" t="inlineStr">
        <is>
          <t>Possible</t>
        </is>
      </c>
      <c r="N272" s="21">
        <f>IF(OR(L272="",M272=""),"",IF(L272="Critical",4,IF(L272="High",3,IF(L272="Medium",2,1)))*IF(M272="Almost Certain",5,IF(M272="Likely",4,IF(M272="Possible",3,IF(M272="Unlikely",2,1)))))</f>
        <v/>
      </c>
      <c r="O272" s="20" t="inlineStr"/>
      <c r="P272" s="20" t="inlineStr"/>
      <c r="Q272" s="20" t="inlineStr"/>
      <c r="R272" s="21">
        <f>IF(O272="","",IF(Q272&lt;&gt;"",Q272-O272,TODAY()-O272))</f>
        <v/>
      </c>
      <c r="S272" s="17">
        <f>IF(R272="","",IF(R272&lt;=30,"0-30 Days",IF(R272&lt;=60,"31-60 Days",IF(R272&lt;=90,"61-90 Days",IF(R272&lt;=180,"91-180 Days","181+ Days")))))</f>
        <v/>
      </c>
      <c r="T272" s="16" t="inlineStr">
        <is>
          <t>Medium</t>
        </is>
      </c>
      <c r="U272" s="16" t="inlineStr">
        <is>
          <t>Pending</t>
        </is>
      </c>
      <c r="V272" s="16" t="inlineStr"/>
      <c r="W272" s="16" t="inlineStr"/>
      <c r="X272" s="16" t="inlineStr"/>
    </row>
    <row r="273">
      <c r="A273" s="16" t="inlineStr"/>
      <c r="B273" s="16" t="inlineStr"/>
      <c r="C273" s="17" t="inlineStr"/>
      <c r="D273" s="17" t="inlineStr"/>
      <c r="E273" s="16" t="inlineStr"/>
      <c r="F273" s="16" t="inlineStr"/>
      <c r="G273" s="16" t="inlineStr"/>
      <c r="H273" s="16" t="inlineStr"/>
      <c r="I273" s="16" t="inlineStr"/>
      <c r="J273" s="16" t="inlineStr">
        <is>
          <t>Open</t>
        </is>
      </c>
      <c r="K273" s="16" t="inlineStr">
        <is>
          <t>Medium</t>
        </is>
      </c>
      <c r="L273" s="16" t="inlineStr">
        <is>
          <t>Medium</t>
        </is>
      </c>
      <c r="M273" s="16" t="inlineStr">
        <is>
          <t>Possible</t>
        </is>
      </c>
      <c r="N273" s="21">
        <f>IF(OR(L273="",M273=""),"",IF(L273="Critical",4,IF(L273="High",3,IF(L273="Medium",2,1)))*IF(M273="Almost Certain",5,IF(M273="Likely",4,IF(M273="Possible",3,IF(M273="Unlikely",2,1)))))</f>
        <v/>
      </c>
      <c r="O273" s="20" t="inlineStr"/>
      <c r="P273" s="20" t="inlineStr"/>
      <c r="Q273" s="20" t="inlineStr"/>
      <c r="R273" s="21">
        <f>IF(O273="","",IF(Q273&lt;&gt;"",Q273-O273,TODAY()-O273))</f>
        <v/>
      </c>
      <c r="S273" s="17">
        <f>IF(R273="","",IF(R273&lt;=30,"0-30 Days",IF(R273&lt;=60,"31-60 Days",IF(R273&lt;=90,"61-90 Days",IF(R273&lt;=180,"91-180 Days","181+ Days")))))</f>
        <v/>
      </c>
      <c r="T273" s="16" t="inlineStr">
        <is>
          <t>Medium</t>
        </is>
      </c>
      <c r="U273" s="16" t="inlineStr">
        <is>
          <t>Pending</t>
        </is>
      </c>
      <c r="V273" s="16" t="inlineStr"/>
      <c r="W273" s="16" t="inlineStr"/>
      <c r="X273" s="16" t="inlineStr"/>
    </row>
    <row r="274">
      <c r="A274" s="16" t="inlineStr"/>
      <c r="B274" s="16" t="inlineStr"/>
      <c r="C274" s="17" t="inlineStr"/>
      <c r="D274" s="17" t="inlineStr"/>
      <c r="E274" s="16" t="inlineStr"/>
      <c r="F274" s="16" t="inlineStr"/>
      <c r="G274" s="16" t="inlineStr"/>
      <c r="H274" s="16" t="inlineStr"/>
      <c r="I274" s="16" t="inlineStr"/>
      <c r="J274" s="16" t="inlineStr">
        <is>
          <t>Open</t>
        </is>
      </c>
      <c r="K274" s="16" t="inlineStr">
        <is>
          <t>Medium</t>
        </is>
      </c>
      <c r="L274" s="16" t="inlineStr">
        <is>
          <t>Medium</t>
        </is>
      </c>
      <c r="M274" s="16" t="inlineStr">
        <is>
          <t>Possible</t>
        </is>
      </c>
      <c r="N274" s="21">
        <f>IF(OR(L274="",M274=""),"",IF(L274="Critical",4,IF(L274="High",3,IF(L274="Medium",2,1)))*IF(M274="Almost Certain",5,IF(M274="Likely",4,IF(M274="Possible",3,IF(M274="Unlikely",2,1)))))</f>
        <v/>
      </c>
      <c r="O274" s="20" t="inlineStr"/>
      <c r="P274" s="20" t="inlineStr"/>
      <c r="Q274" s="20" t="inlineStr"/>
      <c r="R274" s="21">
        <f>IF(O274="","",IF(Q274&lt;&gt;"",Q274-O274,TODAY()-O274))</f>
        <v/>
      </c>
      <c r="S274" s="17">
        <f>IF(R274="","",IF(R274&lt;=30,"0-30 Days",IF(R274&lt;=60,"31-60 Days",IF(R274&lt;=90,"61-90 Days",IF(R274&lt;=180,"91-180 Days","181+ Days")))))</f>
        <v/>
      </c>
      <c r="T274" s="16" t="inlineStr">
        <is>
          <t>Medium</t>
        </is>
      </c>
      <c r="U274" s="16" t="inlineStr">
        <is>
          <t>Pending</t>
        </is>
      </c>
      <c r="V274" s="16" t="inlineStr"/>
      <c r="W274" s="16" t="inlineStr"/>
      <c r="X274" s="16" t="inlineStr"/>
    </row>
    <row r="275">
      <c r="A275" s="16" t="inlineStr"/>
      <c r="B275" s="16" t="inlineStr"/>
      <c r="C275" s="17" t="inlineStr"/>
      <c r="D275" s="17" t="inlineStr"/>
      <c r="E275" s="16" t="inlineStr"/>
      <c r="F275" s="16" t="inlineStr"/>
      <c r="G275" s="16" t="inlineStr"/>
      <c r="H275" s="16" t="inlineStr"/>
      <c r="I275" s="16" t="inlineStr"/>
      <c r="J275" s="16" t="inlineStr">
        <is>
          <t>Open</t>
        </is>
      </c>
      <c r="K275" s="16" t="inlineStr">
        <is>
          <t>Medium</t>
        </is>
      </c>
      <c r="L275" s="16" t="inlineStr">
        <is>
          <t>Medium</t>
        </is>
      </c>
      <c r="M275" s="16" t="inlineStr">
        <is>
          <t>Possible</t>
        </is>
      </c>
      <c r="N275" s="21">
        <f>IF(OR(L275="",M275=""),"",IF(L275="Critical",4,IF(L275="High",3,IF(L275="Medium",2,1)))*IF(M275="Almost Certain",5,IF(M275="Likely",4,IF(M275="Possible",3,IF(M275="Unlikely",2,1)))))</f>
        <v/>
      </c>
      <c r="O275" s="20" t="inlineStr"/>
      <c r="P275" s="20" t="inlineStr"/>
      <c r="Q275" s="20" t="inlineStr"/>
      <c r="R275" s="21">
        <f>IF(O275="","",IF(Q275&lt;&gt;"",Q275-O275,TODAY()-O275))</f>
        <v/>
      </c>
      <c r="S275" s="17">
        <f>IF(R275="","",IF(R275&lt;=30,"0-30 Days",IF(R275&lt;=60,"31-60 Days",IF(R275&lt;=90,"61-90 Days",IF(R275&lt;=180,"91-180 Days","181+ Days")))))</f>
        <v/>
      </c>
      <c r="T275" s="16" t="inlineStr">
        <is>
          <t>Medium</t>
        </is>
      </c>
      <c r="U275" s="16" t="inlineStr">
        <is>
          <t>Pending</t>
        </is>
      </c>
      <c r="V275" s="16" t="inlineStr"/>
      <c r="W275" s="16" t="inlineStr"/>
      <c r="X275" s="16" t="inlineStr"/>
    </row>
    <row r="276">
      <c r="A276" s="16" t="inlineStr"/>
      <c r="B276" s="16" t="inlineStr"/>
      <c r="C276" s="17" t="inlineStr"/>
      <c r="D276" s="17" t="inlineStr"/>
      <c r="E276" s="16" t="inlineStr"/>
      <c r="F276" s="16" t="inlineStr"/>
      <c r="G276" s="16" t="inlineStr"/>
      <c r="H276" s="16" t="inlineStr"/>
      <c r="I276" s="16" t="inlineStr"/>
      <c r="J276" s="16" t="inlineStr">
        <is>
          <t>Open</t>
        </is>
      </c>
      <c r="K276" s="16" t="inlineStr">
        <is>
          <t>Medium</t>
        </is>
      </c>
      <c r="L276" s="16" t="inlineStr">
        <is>
          <t>Medium</t>
        </is>
      </c>
      <c r="M276" s="16" t="inlineStr">
        <is>
          <t>Possible</t>
        </is>
      </c>
      <c r="N276" s="21">
        <f>IF(OR(L276="",M276=""),"",IF(L276="Critical",4,IF(L276="High",3,IF(L276="Medium",2,1)))*IF(M276="Almost Certain",5,IF(M276="Likely",4,IF(M276="Possible",3,IF(M276="Unlikely",2,1)))))</f>
        <v/>
      </c>
      <c r="O276" s="20" t="inlineStr"/>
      <c r="P276" s="20" t="inlineStr"/>
      <c r="Q276" s="20" t="inlineStr"/>
      <c r="R276" s="21">
        <f>IF(O276="","",IF(Q276&lt;&gt;"",Q276-O276,TODAY()-O276))</f>
        <v/>
      </c>
      <c r="S276" s="17">
        <f>IF(R276="","",IF(R276&lt;=30,"0-30 Days",IF(R276&lt;=60,"31-60 Days",IF(R276&lt;=90,"61-90 Days",IF(R276&lt;=180,"91-180 Days","181+ Days")))))</f>
        <v/>
      </c>
      <c r="T276" s="16" t="inlineStr">
        <is>
          <t>Medium</t>
        </is>
      </c>
      <c r="U276" s="16" t="inlineStr">
        <is>
          <t>Pending</t>
        </is>
      </c>
      <c r="V276" s="16" t="inlineStr"/>
      <c r="W276" s="16" t="inlineStr"/>
      <c r="X276" s="16" t="inlineStr"/>
    </row>
    <row r="277">
      <c r="A277" s="16" t="inlineStr"/>
      <c r="B277" s="16" t="inlineStr"/>
      <c r="C277" s="17" t="inlineStr"/>
      <c r="D277" s="17" t="inlineStr"/>
      <c r="E277" s="16" t="inlineStr"/>
      <c r="F277" s="16" t="inlineStr"/>
      <c r="G277" s="16" t="inlineStr"/>
      <c r="H277" s="16" t="inlineStr"/>
      <c r="I277" s="16" t="inlineStr"/>
      <c r="J277" s="16" t="inlineStr">
        <is>
          <t>Open</t>
        </is>
      </c>
      <c r="K277" s="16" t="inlineStr">
        <is>
          <t>Medium</t>
        </is>
      </c>
      <c r="L277" s="16" t="inlineStr">
        <is>
          <t>Medium</t>
        </is>
      </c>
      <c r="M277" s="16" t="inlineStr">
        <is>
          <t>Possible</t>
        </is>
      </c>
      <c r="N277" s="21">
        <f>IF(OR(L277="",M277=""),"",IF(L277="Critical",4,IF(L277="High",3,IF(L277="Medium",2,1)))*IF(M277="Almost Certain",5,IF(M277="Likely",4,IF(M277="Possible",3,IF(M277="Unlikely",2,1)))))</f>
        <v/>
      </c>
      <c r="O277" s="20" t="inlineStr"/>
      <c r="P277" s="20" t="inlineStr"/>
      <c r="Q277" s="20" t="inlineStr"/>
      <c r="R277" s="21">
        <f>IF(O277="","",IF(Q277&lt;&gt;"",Q277-O277,TODAY()-O277))</f>
        <v/>
      </c>
      <c r="S277" s="17">
        <f>IF(R277="","",IF(R277&lt;=30,"0-30 Days",IF(R277&lt;=60,"31-60 Days",IF(R277&lt;=90,"61-90 Days",IF(R277&lt;=180,"91-180 Days","181+ Days")))))</f>
        <v/>
      </c>
      <c r="T277" s="16" t="inlineStr">
        <is>
          <t>Medium</t>
        </is>
      </c>
      <c r="U277" s="16" t="inlineStr">
        <is>
          <t>Pending</t>
        </is>
      </c>
      <c r="V277" s="16" t="inlineStr"/>
      <c r="W277" s="16" t="inlineStr"/>
      <c r="X277" s="16" t="inlineStr"/>
    </row>
    <row r="278">
      <c r="A278" s="16" t="inlineStr"/>
      <c r="B278" s="16" t="inlineStr"/>
      <c r="C278" s="17" t="inlineStr"/>
      <c r="D278" s="17" t="inlineStr"/>
      <c r="E278" s="16" t="inlineStr"/>
      <c r="F278" s="16" t="inlineStr"/>
      <c r="G278" s="16" t="inlineStr"/>
      <c r="H278" s="16" t="inlineStr"/>
      <c r="I278" s="16" t="inlineStr"/>
      <c r="J278" s="16" t="inlineStr">
        <is>
          <t>Open</t>
        </is>
      </c>
      <c r="K278" s="16" t="inlineStr">
        <is>
          <t>Medium</t>
        </is>
      </c>
      <c r="L278" s="16" t="inlineStr">
        <is>
          <t>Medium</t>
        </is>
      </c>
      <c r="M278" s="16" t="inlineStr">
        <is>
          <t>Possible</t>
        </is>
      </c>
      <c r="N278" s="21">
        <f>IF(OR(L278="",M278=""),"",IF(L278="Critical",4,IF(L278="High",3,IF(L278="Medium",2,1)))*IF(M278="Almost Certain",5,IF(M278="Likely",4,IF(M278="Possible",3,IF(M278="Unlikely",2,1)))))</f>
        <v/>
      </c>
      <c r="O278" s="20" t="inlineStr"/>
      <c r="P278" s="20" t="inlineStr"/>
      <c r="Q278" s="20" t="inlineStr"/>
      <c r="R278" s="21">
        <f>IF(O278="","",IF(Q278&lt;&gt;"",Q278-O278,TODAY()-O278))</f>
        <v/>
      </c>
      <c r="S278" s="17">
        <f>IF(R278="","",IF(R278&lt;=30,"0-30 Days",IF(R278&lt;=60,"31-60 Days",IF(R278&lt;=90,"61-90 Days",IF(R278&lt;=180,"91-180 Days","181+ Days")))))</f>
        <v/>
      </c>
      <c r="T278" s="16" t="inlineStr">
        <is>
          <t>Medium</t>
        </is>
      </c>
      <c r="U278" s="16" t="inlineStr">
        <is>
          <t>Pending</t>
        </is>
      </c>
      <c r="V278" s="16" t="inlineStr"/>
      <c r="W278" s="16" t="inlineStr"/>
      <c r="X278" s="16" t="inlineStr"/>
    </row>
    <row r="279">
      <c r="A279" s="16" t="inlineStr"/>
      <c r="B279" s="16" t="inlineStr"/>
      <c r="C279" s="17" t="inlineStr"/>
      <c r="D279" s="17" t="inlineStr"/>
      <c r="E279" s="16" t="inlineStr"/>
      <c r="F279" s="16" t="inlineStr"/>
      <c r="G279" s="16" t="inlineStr"/>
      <c r="H279" s="16" t="inlineStr"/>
      <c r="I279" s="16" t="inlineStr"/>
      <c r="J279" s="16" t="inlineStr">
        <is>
          <t>Open</t>
        </is>
      </c>
      <c r="K279" s="16" t="inlineStr">
        <is>
          <t>Medium</t>
        </is>
      </c>
      <c r="L279" s="16" t="inlineStr">
        <is>
          <t>Medium</t>
        </is>
      </c>
      <c r="M279" s="16" t="inlineStr">
        <is>
          <t>Possible</t>
        </is>
      </c>
      <c r="N279" s="21">
        <f>IF(OR(L279="",M279=""),"",IF(L279="Critical",4,IF(L279="High",3,IF(L279="Medium",2,1)))*IF(M279="Almost Certain",5,IF(M279="Likely",4,IF(M279="Possible",3,IF(M279="Unlikely",2,1)))))</f>
        <v/>
      </c>
      <c r="O279" s="20" t="inlineStr"/>
      <c r="P279" s="20" t="inlineStr"/>
      <c r="Q279" s="20" t="inlineStr"/>
      <c r="R279" s="21">
        <f>IF(O279="","",IF(Q279&lt;&gt;"",Q279-O279,TODAY()-O279))</f>
        <v/>
      </c>
      <c r="S279" s="17">
        <f>IF(R279="","",IF(R279&lt;=30,"0-30 Days",IF(R279&lt;=60,"31-60 Days",IF(R279&lt;=90,"61-90 Days",IF(R279&lt;=180,"91-180 Days","181+ Days")))))</f>
        <v/>
      </c>
      <c r="T279" s="16" t="inlineStr">
        <is>
          <t>Medium</t>
        </is>
      </c>
      <c r="U279" s="16" t="inlineStr">
        <is>
          <t>Pending</t>
        </is>
      </c>
      <c r="V279" s="16" t="inlineStr"/>
      <c r="W279" s="16" t="inlineStr"/>
      <c r="X279" s="16" t="inlineStr"/>
    </row>
    <row r="280">
      <c r="A280" s="16" t="inlineStr"/>
      <c r="B280" s="16" t="inlineStr"/>
      <c r="C280" s="17" t="inlineStr"/>
      <c r="D280" s="17" t="inlineStr"/>
      <c r="E280" s="16" t="inlineStr"/>
      <c r="F280" s="16" t="inlineStr"/>
      <c r="G280" s="16" t="inlineStr"/>
      <c r="H280" s="16" t="inlineStr"/>
      <c r="I280" s="16" t="inlineStr"/>
      <c r="J280" s="16" t="inlineStr">
        <is>
          <t>Open</t>
        </is>
      </c>
      <c r="K280" s="16" t="inlineStr">
        <is>
          <t>Medium</t>
        </is>
      </c>
      <c r="L280" s="16" t="inlineStr">
        <is>
          <t>Medium</t>
        </is>
      </c>
      <c r="M280" s="16" t="inlineStr">
        <is>
          <t>Possible</t>
        </is>
      </c>
      <c r="N280" s="21">
        <f>IF(OR(L280="",M280=""),"",IF(L280="Critical",4,IF(L280="High",3,IF(L280="Medium",2,1)))*IF(M280="Almost Certain",5,IF(M280="Likely",4,IF(M280="Possible",3,IF(M280="Unlikely",2,1)))))</f>
        <v/>
      </c>
      <c r="O280" s="20" t="inlineStr"/>
      <c r="P280" s="20" t="inlineStr"/>
      <c r="Q280" s="20" t="inlineStr"/>
      <c r="R280" s="21">
        <f>IF(O280="","",IF(Q280&lt;&gt;"",Q280-O280,TODAY()-O280))</f>
        <v/>
      </c>
      <c r="S280" s="17">
        <f>IF(R280="","",IF(R280&lt;=30,"0-30 Days",IF(R280&lt;=60,"31-60 Days",IF(R280&lt;=90,"61-90 Days",IF(R280&lt;=180,"91-180 Days","181+ Days")))))</f>
        <v/>
      </c>
      <c r="T280" s="16" t="inlineStr">
        <is>
          <t>Medium</t>
        </is>
      </c>
      <c r="U280" s="16" t="inlineStr">
        <is>
          <t>Pending</t>
        </is>
      </c>
      <c r="V280" s="16" t="inlineStr"/>
      <c r="W280" s="16" t="inlineStr"/>
      <c r="X280" s="16" t="inlineStr"/>
    </row>
    <row r="281">
      <c r="A281" s="16" t="inlineStr"/>
      <c r="B281" s="16" t="inlineStr"/>
      <c r="C281" s="17" t="inlineStr"/>
      <c r="D281" s="17" t="inlineStr"/>
      <c r="E281" s="16" t="inlineStr"/>
      <c r="F281" s="16" t="inlineStr"/>
      <c r="G281" s="16" t="inlineStr"/>
      <c r="H281" s="16" t="inlineStr"/>
      <c r="I281" s="16" t="inlineStr"/>
      <c r="J281" s="16" t="inlineStr">
        <is>
          <t>Open</t>
        </is>
      </c>
      <c r="K281" s="16" t="inlineStr">
        <is>
          <t>Medium</t>
        </is>
      </c>
      <c r="L281" s="16" t="inlineStr">
        <is>
          <t>Medium</t>
        </is>
      </c>
      <c r="M281" s="16" t="inlineStr">
        <is>
          <t>Possible</t>
        </is>
      </c>
      <c r="N281" s="21">
        <f>IF(OR(L281="",M281=""),"",IF(L281="Critical",4,IF(L281="High",3,IF(L281="Medium",2,1)))*IF(M281="Almost Certain",5,IF(M281="Likely",4,IF(M281="Possible",3,IF(M281="Unlikely",2,1)))))</f>
        <v/>
      </c>
      <c r="O281" s="20" t="inlineStr"/>
      <c r="P281" s="20" t="inlineStr"/>
      <c r="Q281" s="20" t="inlineStr"/>
      <c r="R281" s="21">
        <f>IF(O281="","",IF(Q281&lt;&gt;"",Q281-O281,TODAY()-O281))</f>
        <v/>
      </c>
      <c r="S281" s="17">
        <f>IF(R281="","",IF(R281&lt;=30,"0-30 Days",IF(R281&lt;=60,"31-60 Days",IF(R281&lt;=90,"61-90 Days",IF(R281&lt;=180,"91-180 Days","181+ Days")))))</f>
        <v/>
      </c>
      <c r="T281" s="16" t="inlineStr">
        <is>
          <t>Medium</t>
        </is>
      </c>
      <c r="U281" s="16" t="inlineStr">
        <is>
          <t>Pending</t>
        </is>
      </c>
      <c r="V281" s="16" t="inlineStr"/>
      <c r="W281" s="16" t="inlineStr"/>
      <c r="X281" s="16" t="inlineStr"/>
    </row>
    <row r="282">
      <c r="A282" s="16" t="inlineStr"/>
      <c r="B282" s="16" t="inlineStr"/>
      <c r="C282" s="17" t="inlineStr"/>
      <c r="D282" s="17" t="inlineStr"/>
      <c r="E282" s="16" t="inlineStr"/>
      <c r="F282" s="16" t="inlineStr"/>
      <c r="G282" s="16" t="inlineStr"/>
      <c r="H282" s="16" t="inlineStr"/>
      <c r="I282" s="16" t="inlineStr"/>
      <c r="J282" s="16" t="inlineStr">
        <is>
          <t>Open</t>
        </is>
      </c>
      <c r="K282" s="16" t="inlineStr">
        <is>
          <t>Medium</t>
        </is>
      </c>
      <c r="L282" s="16" t="inlineStr">
        <is>
          <t>Medium</t>
        </is>
      </c>
      <c r="M282" s="16" t="inlineStr">
        <is>
          <t>Possible</t>
        </is>
      </c>
      <c r="N282" s="21">
        <f>IF(OR(L282="",M282=""),"",IF(L282="Critical",4,IF(L282="High",3,IF(L282="Medium",2,1)))*IF(M282="Almost Certain",5,IF(M282="Likely",4,IF(M282="Possible",3,IF(M282="Unlikely",2,1)))))</f>
        <v/>
      </c>
      <c r="O282" s="20" t="inlineStr"/>
      <c r="P282" s="20" t="inlineStr"/>
      <c r="Q282" s="20" t="inlineStr"/>
      <c r="R282" s="21">
        <f>IF(O282="","",IF(Q282&lt;&gt;"",Q282-O282,TODAY()-O282))</f>
        <v/>
      </c>
      <c r="S282" s="17">
        <f>IF(R282="","",IF(R282&lt;=30,"0-30 Days",IF(R282&lt;=60,"31-60 Days",IF(R282&lt;=90,"61-90 Days",IF(R282&lt;=180,"91-180 Days","181+ Days")))))</f>
        <v/>
      </c>
      <c r="T282" s="16" t="inlineStr">
        <is>
          <t>Medium</t>
        </is>
      </c>
      <c r="U282" s="16" t="inlineStr">
        <is>
          <t>Pending</t>
        </is>
      </c>
      <c r="V282" s="16" t="inlineStr"/>
      <c r="W282" s="16" t="inlineStr"/>
      <c r="X282" s="16" t="inlineStr"/>
    </row>
    <row r="283">
      <c r="A283" s="16" t="inlineStr"/>
      <c r="B283" s="16" t="inlineStr"/>
      <c r="C283" s="17" t="inlineStr"/>
      <c r="D283" s="17" t="inlineStr"/>
      <c r="E283" s="16" t="inlineStr"/>
      <c r="F283" s="16" t="inlineStr"/>
      <c r="G283" s="16" t="inlineStr"/>
      <c r="H283" s="16" t="inlineStr"/>
      <c r="I283" s="16" t="inlineStr"/>
      <c r="J283" s="16" t="inlineStr">
        <is>
          <t>Open</t>
        </is>
      </c>
      <c r="K283" s="16" t="inlineStr">
        <is>
          <t>Medium</t>
        </is>
      </c>
      <c r="L283" s="16" t="inlineStr">
        <is>
          <t>Medium</t>
        </is>
      </c>
      <c r="M283" s="16" t="inlineStr">
        <is>
          <t>Possible</t>
        </is>
      </c>
      <c r="N283" s="21">
        <f>IF(OR(L283="",M283=""),"",IF(L283="Critical",4,IF(L283="High",3,IF(L283="Medium",2,1)))*IF(M283="Almost Certain",5,IF(M283="Likely",4,IF(M283="Possible",3,IF(M283="Unlikely",2,1)))))</f>
        <v/>
      </c>
      <c r="O283" s="20" t="inlineStr"/>
      <c r="P283" s="20" t="inlineStr"/>
      <c r="Q283" s="20" t="inlineStr"/>
      <c r="R283" s="21">
        <f>IF(O283="","",IF(Q283&lt;&gt;"",Q283-O283,TODAY()-O283))</f>
        <v/>
      </c>
      <c r="S283" s="17">
        <f>IF(R283="","",IF(R283&lt;=30,"0-30 Days",IF(R283&lt;=60,"31-60 Days",IF(R283&lt;=90,"61-90 Days",IF(R283&lt;=180,"91-180 Days","181+ Days")))))</f>
        <v/>
      </c>
      <c r="T283" s="16" t="inlineStr">
        <is>
          <t>Medium</t>
        </is>
      </c>
      <c r="U283" s="16" t="inlineStr">
        <is>
          <t>Pending</t>
        </is>
      </c>
      <c r="V283" s="16" t="inlineStr"/>
      <c r="W283" s="16" t="inlineStr"/>
      <c r="X283" s="16" t="inlineStr"/>
    </row>
    <row r="284">
      <c r="A284" s="16" t="inlineStr"/>
      <c r="B284" s="16" t="inlineStr"/>
      <c r="C284" s="17" t="inlineStr"/>
      <c r="D284" s="17" t="inlineStr"/>
      <c r="E284" s="16" t="inlineStr"/>
      <c r="F284" s="16" t="inlineStr"/>
      <c r="G284" s="16" t="inlineStr"/>
      <c r="H284" s="16" t="inlineStr"/>
      <c r="I284" s="16" t="inlineStr"/>
      <c r="J284" s="16" t="inlineStr">
        <is>
          <t>Open</t>
        </is>
      </c>
      <c r="K284" s="16" t="inlineStr">
        <is>
          <t>Medium</t>
        </is>
      </c>
      <c r="L284" s="16" t="inlineStr">
        <is>
          <t>Medium</t>
        </is>
      </c>
      <c r="M284" s="16" t="inlineStr">
        <is>
          <t>Possible</t>
        </is>
      </c>
      <c r="N284" s="21">
        <f>IF(OR(L284="",M284=""),"",IF(L284="Critical",4,IF(L284="High",3,IF(L284="Medium",2,1)))*IF(M284="Almost Certain",5,IF(M284="Likely",4,IF(M284="Possible",3,IF(M284="Unlikely",2,1)))))</f>
        <v/>
      </c>
      <c r="O284" s="20" t="inlineStr"/>
      <c r="P284" s="20" t="inlineStr"/>
      <c r="Q284" s="20" t="inlineStr"/>
      <c r="R284" s="21">
        <f>IF(O284="","",IF(Q284&lt;&gt;"",Q284-O284,TODAY()-O284))</f>
        <v/>
      </c>
      <c r="S284" s="17">
        <f>IF(R284="","",IF(R284&lt;=30,"0-30 Days",IF(R284&lt;=60,"31-60 Days",IF(R284&lt;=90,"61-90 Days",IF(R284&lt;=180,"91-180 Days","181+ Days")))))</f>
        <v/>
      </c>
      <c r="T284" s="16" t="inlineStr">
        <is>
          <t>Medium</t>
        </is>
      </c>
      <c r="U284" s="16" t="inlineStr">
        <is>
          <t>Pending</t>
        </is>
      </c>
      <c r="V284" s="16" t="inlineStr"/>
      <c r="W284" s="16" t="inlineStr"/>
      <c r="X284" s="16" t="inlineStr"/>
    </row>
    <row r="285">
      <c r="A285" s="16" t="inlineStr"/>
      <c r="B285" s="16" t="inlineStr"/>
      <c r="C285" s="17" t="inlineStr"/>
      <c r="D285" s="17" t="inlineStr"/>
      <c r="E285" s="16" t="inlineStr"/>
      <c r="F285" s="16" t="inlineStr"/>
      <c r="G285" s="16" t="inlineStr"/>
      <c r="H285" s="16" t="inlineStr"/>
      <c r="I285" s="16" t="inlineStr"/>
      <c r="J285" s="16" t="inlineStr">
        <is>
          <t>Open</t>
        </is>
      </c>
      <c r="K285" s="16" t="inlineStr">
        <is>
          <t>Medium</t>
        </is>
      </c>
      <c r="L285" s="16" t="inlineStr">
        <is>
          <t>Medium</t>
        </is>
      </c>
      <c r="M285" s="16" t="inlineStr">
        <is>
          <t>Possible</t>
        </is>
      </c>
      <c r="N285" s="21">
        <f>IF(OR(L285="",M285=""),"",IF(L285="Critical",4,IF(L285="High",3,IF(L285="Medium",2,1)))*IF(M285="Almost Certain",5,IF(M285="Likely",4,IF(M285="Possible",3,IF(M285="Unlikely",2,1)))))</f>
        <v/>
      </c>
      <c r="O285" s="20" t="inlineStr"/>
      <c r="P285" s="20" t="inlineStr"/>
      <c r="Q285" s="20" t="inlineStr"/>
      <c r="R285" s="21">
        <f>IF(O285="","",IF(Q285&lt;&gt;"",Q285-O285,TODAY()-O285))</f>
        <v/>
      </c>
      <c r="S285" s="17">
        <f>IF(R285="","",IF(R285&lt;=30,"0-30 Days",IF(R285&lt;=60,"31-60 Days",IF(R285&lt;=90,"61-90 Days",IF(R285&lt;=180,"91-180 Days","181+ Days")))))</f>
        <v/>
      </c>
      <c r="T285" s="16" t="inlineStr">
        <is>
          <t>Medium</t>
        </is>
      </c>
      <c r="U285" s="16" t="inlineStr">
        <is>
          <t>Pending</t>
        </is>
      </c>
      <c r="V285" s="16" t="inlineStr"/>
      <c r="W285" s="16" t="inlineStr"/>
      <c r="X285" s="16" t="inlineStr"/>
    </row>
    <row r="286">
      <c r="A286" s="16" t="inlineStr"/>
      <c r="B286" s="16" t="inlineStr"/>
      <c r="C286" s="17" t="inlineStr"/>
      <c r="D286" s="17" t="inlineStr"/>
      <c r="E286" s="16" t="inlineStr"/>
      <c r="F286" s="16" t="inlineStr"/>
      <c r="G286" s="16" t="inlineStr"/>
      <c r="H286" s="16" t="inlineStr"/>
      <c r="I286" s="16" t="inlineStr"/>
      <c r="J286" s="16" t="inlineStr">
        <is>
          <t>Open</t>
        </is>
      </c>
      <c r="K286" s="16" t="inlineStr">
        <is>
          <t>Medium</t>
        </is>
      </c>
      <c r="L286" s="16" t="inlineStr">
        <is>
          <t>Medium</t>
        </is>
      </c>
      <c r="M286" s="16" t="inlineStr">
        <is>
          <t>Possible</t>
        </is>
      </c>
      <c r="N286" s="21">
        <f>IF(OR(L286="",M286=""),"",IF(L286="Critical",4,IF(L286="High",3,IF(L286="Medium",2,1)))*IF(M286="Almost Certain",5,IF(M286="Likely",4,IF(M286="Possible",3,IF(M286="Unlikely",2,1)))))</f>
        <v/>
      </c>
      <c r="O286" s="20" t="inlineStr"/>
      <c r="P286" s="20" t="inlineStr"/>
      <c r="Q286" s="20" t="inlineStr"/>
      <c r="R286" s="21">
        <f>IF(O286="","",IF(Q286&lt;&gt;"",Q286-O286,TODAY()-O286))</f>
        <v/>
      </c>
      <c r="S286" s="17">
        <f>IF(R286="","",IF(R286&lt;=30,"0-30 Days",IF(R286&lt;=60,"31-60 Days",IF(R286&lt;=90,"61-90 Days",IF(R286&lt;=180,"91-180 Days","181+ Days")))))</f>
        <v/>
      </c>
      <c r="T286" s="16" t="inlineStr">
        <is>
          <t>Medium</t>
        </is>
      </c>
      <c r="U286" s="16" t="inlineStr">
        <is>
          <t>Pending</t>
        </is>
      </c>
      <c r="V286" s="16" t="inlineStr"/>
      <c r="W286" s="16" t="inlineStr"/>
      <c r="X286" s="16" t="inlineStr"/>
    </row>
    <row r="287">
      <c r="A287" s="16" t="inlineStr"/>
      <c r="B287" s="16" t="inlineStr"/>
      <c r="C287" s="17" t="inlineStr"/>
      <c r="D287" s="17" t="inlineStr"/>
      <c r="E287" s="16" t="inlineStr"/>
      <c r="F287" s="16" t="inlineStr"/>
      <c r="G287" s="16" t="inlineStr"/>
      <c r="H287" s="16" t="inlineStr"/>
      <c r="I287" s="16" t="inlineStr"/>
      <c r="J287" s="16" t="inlineStr">
        <is>
          <t>Open</t>
        </is>
      </c>
      <c r="K287" s="16" t="inlineStr">
        <is>
          <t>Medium</t>
        </is>
      </c>
      <c r="L287" s="16" t="inlineStr">
        <is>
          <t>Medium</t>
        </is>
      </c>
      <c r="M287" s="16" t="inlineStr">
        <is>
          <t>Possible</t>
        </is>
      </c>
      <c r="N287" s="21">
        <f>IF(OR(L287="",M287=""),"",IF(L287="Critical",4,IF(L287="High",3,IF(L287="Medium",2,1)))*IF(M287="Almost Certain",5,IF(M287="Likely",4,IF(M287="Possible",3,IF(M287="Unlikely",2,1)))))</f>
        <v/>
      </c>
      <c r="O287" s="20" t="inlineStr"/>
      <c r="P287" s="20" t="inlineStr"/>
      <c r="Q287" s="20" t="inlineStr"/>
      <c r="R287" s="21">
        <f>IF(O287="","",IF(Q287&lt;&gt;"",Q287-O287,TODAY()-O287))</f>
        <v/>
      </c>
      <c r="S287" s="17">
        <f>IF(R287="","",IF(R287&lt;=30,"0-30 Days",IF(R287&lt;=60,"31-60 Days",IF(R287&lt;=90,"61-90 Days",IF(R287&lt;=180,"91-180 Days","181+ Days")))))</f>
        <v/>
      </c>
      <c r="T287" s="16" t="inlineStr">
        <is>
          <t>Medium</t>
        </is>
      </c>
      <c r="U287" s="16" t="inlineStr">
        <is>
          <t>Pending</t>
        </is>
      </c>
      <c r="V287" s="16" t="inlineStr"/>
      <c r="W287" s="16" t="inlineStr"/>
      <c r="X287" s="16" t="inlineStr"/>
    </row>
    <row r="288">
      <c r="A288" s="16" t="inlineStr"/>
      <c r="B288" s="16" t="inlineStr"/>
      <c r="C288" s="17" t="inlineStr"/>
      <c r="D288" s="17" t="inlineStr"/>
      <c r="E288" s="16" t="inlineStr"/>
      <c r="F288" s="16" t="inlineStr"/>
      <c r="G288" s="16" t="inlineStr"/>
      <c r="H288" s="16" t="inlineStr"/>
      <c r="I288" s="16" t="inlineStr"/>
      <c r="J288" s="16" t="inlineStr">
        <is>
          <t>Open</t>
        </is>
      </c>
      <c r="K288" s="16" t="inlineStr">
        <is>
          <t>Medium</t>
        </is>
      </c>
      <c r="L288" s="16" t="inlineStr">
        <is>
          <t>Medium</t>
        </is>
      </c>
      <c r="M288" s="16" t="inlineStr">
        <is>
          <t>Possible</t>
        </is>
      </c>
      <c r="N288" s="21">
        <f>IF(OR(L288="",M288=""),"",IF(L288="Critical",4,IF(L288="High",3,IF(L288="Medium",2,1)))*IF(M288="Almost Certain",5,IF(M288="Likely",4,IF(M288="Possible",3,IF(M288="Unlikely",2,1)))))</f>
        <v/>
      </c>
      <c r="O288" s="20" t="inlineStr"/>
      <c r="P288" s="20" t="inlineStr"/>
      <c r="Q288" s="20" t="inlineStr"/>
      <c r="R288" s="21">
        <f>IF(O288="","",IF(Q288&lt;&gt;"",Q288-O288,TODAY()-O288))</f>
        <v/>
      </c>
      <c r="S288" s="17">
        <f>IF(R288="","",IF(R288&lt;=30,"0-30 Days",IF(R288&lt;=60,"31-60 Days",IF(R288&lt;=90,"61-90 Days",IF(R288&lt;=180,"91-180 Days","181+ Days")))))</f>
        <v/>
      </c>
      <c r="T288" s="16" t="inlineStr">
        <is>
          <t>Medium</t>
        </is>
      </c>
      <c r="U288" s="16" t="inlineStr">
        <is>
          <t>Pending</t>
        </is>
      </c>
      <c r="V288" s="16" t="inlineStr"/>
      <c r="W288" s="16" t="inlineStr"/>
      <c r="X288" s="16" t="inlineStr"/>
    </row>
    <row r="289">
      <c r="A289" s="16" t="inlineStr"/>
      <c r="B289" s="16" t="inlineStr"/>
      <c r="C289" s="17" t="inlineStr"/>
      <c r="D289" s="17" t="inlineStr"/>
      <c r="E289" s="16" t="inlineStr"/>
      <c r="F289" s="16" t="inlineStr"/>
      <c r="G289" s="16" t="inlineStr"/>
      <c r="H289" s="16" t="inlineStr"/>
      <c r="I289" s="16" t="inlineStr"/>
      <c r="J289" s="16" t="inlineStr">
        <is>
          <t>Open</t>
        </is>
      </c>
      <c r="K289" s="16" t="inlineStr">
        <is>
          <t>Medium</t>
        </is>
      </c>
      <c r="L289" s="16" t="inlineStr">
        <is>
          <t>Medium</t>
        </is>
      </c>
      <c r="M289" s="16" t="inlineStr">
        <is>
          <t>Possible</t>
        </is>
      </c>
      <c r="N289" s="21">
        <f>IF(OR(L289="",M289=""),"",IF(L289="Critical",4,IF(L289="High",3,IF(L289="Medium",2,1)))*IF(M289="Almost Certain",5,IF(M289="Likely",4,IF(M289="Possible",3,IF(M289="Unlikely",2,1)))))</f>
        <v/>
      </c>
      <c r="O289" s="20" t="inlineStr"/>
      <c r="P289" s="20" t="inlineStr"/>
      <c r="Q289" s="20" t="inlineStr"/>
      <c r="R289" s="21">
        <f>IF(O289="","",IF(Q289&lt;&gt;"",Q289-O289,TODAY()-O289))</f>
        <v/>
      </c>
      <c r="S289" s="17">
        <f>IF(R289="","",IF(R289&lt;=30,"0-30 Days",IF(R289&lt;=60,"31-60 Days",IF(R289&lt;=90,"61-90 Days",IF(R289&lt;=180,"91-180 Days","181+ Days")))))</f>
        <v/>
      </c>
      <c r="T289" s="16" t="inlineStr">
        <is>
          <t>Medium</t>
        </is>
      </c>
      <c r="U289" s="16" t="inlineStr">
        <is>
          <t>Pending</t>
        </is>
      </c>
      <c r="V289" s="16" t="inlineStr"/>
      <c r="W289" s="16" t="inlineStr"/>
      <c r="X289" s="16" t="inlineStr"/>
    </row>
    <row r="290">
      <c r="A290" s="16" t="inlineStr"/>
      <c r="B290" s="16" t="inlineStr"/>
      <c r="C290" s="17" t="inlineStr"/>
      <c r="D290" s="17" t="inlineStr"/>
      <c r="E290" s="16" t="inlineStr"/>
      <c r="F290" s="16" t="inlineStr"/>
      <c r="G290" s="16" t="inlineStr"/>
      <c r="H290" s="16" t="inlineStr"/>
      <c r="I290" s="16" t="inlineStr"/>
      <c r="J290" s="16" t="inlineStr">
        <is>
          <t>Open</t>
        </is>
      </c>
      <c r="K290" s="16" t="inlineStr">
        <is>
          <t>Medium</t>
        </is>
      </c>
      <c r="L290" s="16" t="inlineStr">
        <is>
          <t>Medium</t>
        </is>
      </c>
      <c r="M290" s="16" t="inlineStr">
        <is>
          <t>Possible</t>
        </is>
      </c>
      <c r="N290" s="21">
        <f>IF(OR(L290="",M290=""),"",IF(L290="Critical",4,IF(L290="High",3,IF(L290="Medium",2,1)))*IF(M290="Almost Certain",5,IF(M290="Likely",4,IF(M290="Possible",3,IF(M290="Unlikely",2,1)))))</f>
        <v/>
      </c>
      <c r="O290" s="20" t="inlineStr"/>
      <c r="P290" s="20" t="inlineStr"/>
      <c r="Q290" s="20" t="inlineStr"/>
      <c r="R290" s="21">
        <f>IF(O290="","",IF(Q290&lt;&gt;"",Q290-O290,TODAY()-O290))</f>
        <v/>
      </c>
      <c r="S290" s="17">
        <f>IF(R290="","",IF(R290&lt;=30,"0-30 Days",IF(R290&lt;=60,"31-60 Days",IF(R290&lt;=90,"61-90 Days",IF(R290&lt;=180,"91-180 Days","181+ Days")))))</f>
        <v/>
      </c>
      <c r="T290" s="16" t="inlineStr">
        <is>
          <t>Medium</t>
        </is>
      </c>
      <c r="U290" s="16" t="inlineStr">
        <is>
          <t>Pending</t>
        </is>
      </c>
      <c r="V290" s="16" t="inlineStr"/>
      <c r="W290" s="16" t="inlineStr"/>
      <c r="X290" s="16" t="inlineStr"/>
    </row>
    <row r="291">
      <c r="A291" s="16" t="inlineStr"/>
      <c r="B291" s="16" t="inlineStr"/>
      <c r="C291" s="17" t="inlineStr"/>
      <c r="D291" s="17" t="inlineStr"/>
      <c r="E291" s="16" t="inlineStr"/>
      <c r="F291" s="16" t="inlineStr"/>
      <c r="G291" s="16" t="inlineStr"/>
      <c r="H291" s="16" t="inlineStr"/>
      <c r="I291" s="16" t="inlineStr"/>
      <c r="J291" s="16" t="inlineStr">
        <is>
          <t>Open</t>
        </is>
      </c>
      <c r="K291" s="16" t="inlineStr">
        <is>
          <t>Medium</t>
        </is>
      </c>
      <c r="L291" s="16" t="inlineStr">
        <is>
          <t>Medium</t>
        </is>
      </c>
      <c r="M291" s="16" t="inlineStr">
        <is>
          <t>Possible</t>
        </is>
      </c>
      <c r="N291" s="21">
        <f>IF(OR(L291="",M291=""),"",IF(L291="Critical",4,IF(L291="High",3,IF(L291="Medium",2,1)))*IF(M291="Almost Certain",5,IF(M291="Likely",4,IF(M291="Possible",3,IF(M291="Unlikely",2,1)))))</f>
        <v/>
      </c>
      <c r="O291" s="20" t="inlineStr"/>
      <c r="P291" s="20" t="inlineStr"/>
      <c r="Q291" s="20" t="inlineStr"/>
      <c r="R291" s="21">
        <f>IF(O291="","",IF(Q291&lt;&gt;"",Q291-O291,TODAY()-O291))</f>
        <v/>
      </c>
      <c r="S291" s="17">
        <f>IF(R291="","",IF(R291&lt;=30,"0-30 Days",IF(R291&lt;=60,"31-60 Days",IF(R291&lt;=90,"61-90 Days",IF(R291&lt;=180,"91-180 Days","181+ Days")))))</f>
        <v/>
      </c>
      <c r="T291" s="16" t="inlineStr">
        <is>
          <t>Medium</t>
        </is>
      </c>
      <c r="U291" s="16" t="inlineStr">
        <is>
          <t>Pending</t>
        </is>
      </c>
      <c r="V291" s="16" t="inlineStr"/>
      <c r="W291" s="16" t="inlineStr"/>
      <c r="X291" s="16" t="inlineStr"/>
    </row>
    <row r="292">
      <c r="A292" s="16" t="inlineStr"/>
      <c r="B292" s="16" t="inlineStr"/>
      <c r="C292" s="17" t="inlineStr"/>
      <c r="D292" s="17" t="inlineStr"/>
      <c r="E292" s="16" t="inlineStr"/>
      <c r="F292" s="16" t="inlineStr"/>
      <c r="G292" s="16" t="inlineStr"/>
      <c r="H292" s="16" t="inlineStr"/>
      <c r="I292" s="16" t="inlineStr"/>
      <c r="J292" s="16" t="inlineStr">
        <is>
          <t>Open</t>
        </is>
      </c>
      <c r="K292" s="16" t="inlineStr">
        <is>
          <t>Medium</t>
        </is>
      </c>
      <c r="L292" s="16" t="inlineStr">
        <is>
          <t>Medium</t>
        </is>
      </c>
      <c r="M292" s="16" t="inlineStr">
        <is>
          <t>Possible</t>
        </is>
      </c>
      <c r="N292" s="21">
        <f>IF(OR(L292="",M292=""),"",IF(L292="Critical",4,IF(L292="High",3,IF(L292="Medium",2,1)))*IF(M292="Almost Certain",5,IF(M292="Likely",4,IF(M292="Possible",3,IF(M292="Unlikely",2,1)))))</f>
        <v/>
      </c>
      <c r="O292" s="20" t="inlineStr"/>
      <c r="P292" s="20" t="inlineStr"/>
      <c r="Q292" s="20" t="inlineStr"/>
      <c r="R292" s="21">
        <f>IF(O292="","",IF(Q292&lt;&gt;"",Q292-O292,TODAY()-O292))</f>
        <v/>
      </c>
      <c r="S292" s="17">
        <f>IF(R292="","",IF(R292&lt;=30,"0-30 Days",IF(R292&lt;=60,"31-60 Days",IF(R292&lt;=90,"61-90 Days",IF(R292&lt;=180,"91-180 Days","181+ Days")))))</f>
        <v/>
      </c>
      <c r="T292" s="16" t="inlineStr">
        <is>
          <t>Medium</t>
        </is>
      </c>
      <c r="U292" s="16" t="inlineStr">
        <is>
          <t>Pending</t>
        </is>
      </c>
      <c r="V292" s="16" t="inlineStr"/>
      <c r="W292" s="16" t="inlineStr"/>
      <c r="X292" s="16" t="inlineStr"/>
    </row>
    <row r="293">
      <c r="A293" s="16" t="inlineStr"/>
      <c r="B293" s="16" t="inlineStr"/>
      <c r="C293" s="17" t="inlineStr"/>
      <c r="D293" s="17" t="inlineStr"/>
      <c r="E293" s="16" t="inlineStr"/>
      <c r="F293" s="16" t="inlineStr"/>
      <c r="G293" s="16" t="inlineStr"/>
      <c r="H293" s="16" t="inlineStr"/>
      <c r="I293" s="16" t="inlineStr"/>
      <c r="J293" s="16" t="inlineStr">
        <is>
          <t>Open</t>
        </is>
      </c>
      <c r="K293" s="16" t="inlineStr">
        <is>
          <t>Medium</t>
        </is>
      </c>
      <c r="L293" s="16" t="inlineStr">
        <is>
          <t>Medium</t>
        </is>
      </c>
      <c r="M293" s="16" t="inlineStr">
        <is>
          <t>Possible</t>
        </is>
      </c>
      <c r="N293" s="21">
        <f>IF(OR(L293="",M293=""),"",IF(L293="Critical",4,IF(L293="High",3,IF(L293="Medium",2,1)))*IF(M293="Almost Certain",5,IF(M293="Likely",4,IF(M293="Possible",3,IF(M293="Unlikely",2,1)))))</f>
        <v/>
      </c>
      <c r="O293" s="20" t="inlineStr"/>
      <c r="P293" s="20" t="inlineStr"/>
      <c r="Q293" s="20" t="inlineStr"/>
      <c r="R293" s="21">
        <f>IF(O293="","",IF(Q293&lt;&gt;"",Q293-O293,TODAY()-O293))</f>
        <v/>
      </c>
      <c r="S293" s="17">
        <f>IF(R293="","",IF(R293&lt;=30,"0-30 Days",IF(R293&lt;=60,"31-60 Days",IF(R293&lt;=90,"61-90 Days",IF(R293&lt;=180,"91-180 Days","181+ Days")))))</f>
        <v/>
      </c>
      <c r="T293" s="16" t="inlineStr">
        <is>
          <t>Medium</t>
        </is>
      </c>
      <c r="U293" s="16" t="inlineStr">
        <is>
          <t>Pending</t>
        </is>
      </c>
      <c r="V293" s="16" t="inlineStr"/>
      <c r="W293" s="16" t="inlineStr"/>
      <c r="X293" s="16" t="inlineStr"/>
    </row>
    <row r="294">
      <c r="A294" s="16" t="inlineStr"/>
      <c r="B294" s="16" t="inlineStr"/>
      <c r="C294" s="17" t="inlineStr"/>
      <c r="D294" s="17" t="inlineStr"/>
      <c r="E294" s="16" t="inlineStr"/>
      <c r="F294" s="16" t="inlineStr"/>
      <c r="G294" s="16" t="inlineStr"/>
      <c r="H294" s="16" t="inlineStr"/>
      <c r="I294" s="16" t="inlineStr"/>
      <c r="J294" s="16" t="inlineStr">
        <is>
          <t>Open</t>
        </is>
      </c>
      <c r="K294" s="16" t="inlineStr">
        <is>
          <t>Medium</t>
        </is>
      </c>
      <c r="L294" s="16" t="inlineStr">
        <is>
          <t>Medium</t>
        </is>
      </c>
      <c r="M294" s="16" t="inlineStr">
        <is>
          <t>Possible</t>
        </is>
      </c>
      <c r="N294" s="21">
        <f>IF(OR(L294="",M294=""),"",IF(L294="Critical",4,IF(L294="High",3,IF(L294="Medium",2,1)))*IF(M294="Almost Certain",5,IF(M294="Likely",4,IF(M294="Possible",3,IF(M294="Unlikely",2,1)))))</f>
        <v/>
      </c>
      <c r="O294" s="20" t="inlineStr"/>
      <c r="P294" s="20" t="inlineStr"/>
      <c r="Q294" s="20" t="inlineStr"/>
      <c r="R294" s="21">
        <f>IF(O294="","",IF(Q294&lt;&gt;"",Q294-O294,TODAY()-O294))</f>
        <v/>
      </c>
      <c r="S294" s="17">
        <f>IF(R294="","",IF(R294&lt;=30,"0-30 Days",IF(R294&lt;=60,"31-60 Days",IF(R294&lt;=90,"61-90 Days",IF(R294&lt;=180,"91-180 Days","181+ Days")))))</f>
        <v/>
      </c>
      <c r="T294" s="16" t="inlineStr">
        <is>
          <t>Medium</t>
        </is>
      </c>
      <c r="U294" s="16" t="inlineStr">
        <is>
          <t>Pending</t>
        </is>
      </c>
      <c r="V294" s="16" t="inlineStr"/>
      <c r="W294" s="16" t="inlineStr"/>
      <c r="X294" s="16" t="inlineStr"/>
    </row>
    <row r="295">
      <c r="A295" s="16" t="inlineStr"/>
      <c r="B295" s="16" t="inlineStr"/>
      <c r="C295" s="17" t="inlineStr"/>
      <c r="D295" s="17" t="inlineStr"/>
      <c r="E295" s="16" t="inlineStr"/>
      <c r="F295" s="16" t="inlineStr"/>
      <c r="G295" s="16" t="inlineStr"/>
      <c r="H295" s="16" t="inlineStr"/>
      <c r="I295" s="16" t="inlineStr"/>
      <c r="J295" s="16" t="inlineStr">
        <is>
          <t>Open</t>
        </is>
      </c>
      <c r="K295" s="16" t="inlineStr">
        <is>
          <t>Medium</t>
        </is>
      </c>
      <c r="L295" s="16" t="inlineStr">
        <is>
          <t>Medium</t>
        </is>
      </c>
      <c r="M295" s="16" t="inlineStr">
        <is>
          <t>Possible</t>
        </is>
      </c>
      <c r="N295" s="21">
        <f>IF(OR(L295="",M295=""),"",IF(L295="Critical",4,IF(L295="High",3,IF(L295="Medium",2,1)))*IF(M295="Almost Certain",5,IF(M295="Likely",4,IF(M295="Possible",3,IF(M295="Unlikely",2,1)))))</f>
        <v/>
      </c>
      <c r="O295" s="20" t="inlineStr"/>
      <c r="P295" s="20" t="inlineStr"/>
      <c r="Q295" s="20" t="inlineStr"/>
      <c r="R295" s="21">
        <f>IF(O295="","",IF(Q295&lt;&gt;"",Q295-O295,TODAY()-O295))</f>
        <v/>
      </c>
      <c r="S295" s="17">
        <f>IF(R295="","",IF(R295&lt;=30,"0-30 Days",IF(R295&lt;=60,"31-60 Days",IF(R295&lt;=90,"61-90 Days",IF(R295&lt;=180,"91-180 Days","181+ Days")))))</f>
        <v/>
      </c>
      <c r="T295" s="16" t="inlineStr">
        <is>
          <t>Medium</t>
        </is>
      </c>
      <c r="U295" s="16" t="inlineStr">
        <is>
          <t>Pending</t>
        </is>
      </c>
      <c r="V295" s="16" t="inlineStr"/>
      <c r="W295" s="16" t="inlineStr"/>
      <c r="X295" s="16" t="inlineStr"/>
    </row>
    <row r="296">
      <c r="A296" s="16" t="inlineStr"/>
      <c r="B296" s="16" t="inlineStr"/>
      <c r="C296" s="17" t="inlineStr"/>
      <c r="D296" s="17" t="inlineStr"/>
      <c r="E296" s="16" t="inlineStr"/>
      <c r="F296" s="16" t="inlineStr"/>
      <c r="G296" s="16" t="inlineStr"/>
      <c r="H296" s="16" t="inlineStr"/>
      <c r="I296" s="16" t="inlineStr"/>
      <c r="J296" s="16" t="inlineStr">
        <is>
          <t>Open</t>
        </is>
      </c>
      <c r="K296" s="16" t="inlineStr">
        <is>
          <t>Medium</t>
        </is>
      </c>
      <c r="L296" s="16" t="inlineStr">
        <is>
          <t>Medium</t>
        </is>
      </c>
      <c r="M296" s="16" t="inlineStr">
        <is>
          <t>Possible</t>
        </is>
      </c>
      <c r="N296" s="21">
        <f>IF(OR(L296="",M296=""),"",IF(L296="Critical",4,IF(L296="High",3,IF(L296="Medium",2,1)))*IF(M296="Almost Certain",5,IF(M296="Likely",4,IF(M296="Possible",3,IF(M296="Unlikely",2,1)))))</f>
        <v/>
      </c>
      <c r="O296" s="20" t="inlineStr"/>
      <c r="P296" s="20" t="inlineStr"/>
      <c r="Q296" s="20" t="inlineStr"/>
      <c r="R296" s="21">
        <f>IF(O296="","",IF(Q296&lt;&gt;"",Q296-O296,TODAY()-O296))</f>
        <v/>
      </c>
      <c r="S296" s="17">
        <f>IF(R296="","",IF(R296&lt;=30,"0-30 Days",IF(R296&lt;=60,"31-60 Days",IF(R296&lt;=90,"61-90 Days",IF(R296&lt;=180,"91-180 Days","181+ Days")))))</f>
        <v/>
      </c>
      <c r="T296" s="16" t="inlineStr">
        <is>
          <t>Medium</t>
        </is>
      </c>
      <c r="U296" s="16" t="inlineStr">
        <is>
          <t>Pending</t>
        </is>
      </c>
      <c r="V296" s="16" t="inlineStr"/>
      <c r="W296" s="16" t="inlineStr"/>
      <c r="X296" s="16" t="inlineStr"/>
    </row>
    <row r="297">
      <c r="A297" s="16" t="inlineStr"/>
      <c r="B297" s="16" t="inlineStr"/>
      <c r="C297" s="17" t="inlineStr"/>
      <c r="D297" s="17" t="inlineStr"/>
      <c r="E297" s="16" t="inlineStr"/>
      <c r="F297" s="16" t="inlineStr"/>
      <c r="G297" s="16" t="inlineStr"/>
      <c r="H297" s="16" t="inlineStr"/>
      <c r="I297" s="16" t="inlineStr"/>
      <c r="J297" s="16" t="inlineStr">
        <is>
          <t>Open</t>
        </is>
      </c>
      <c r="K297" s="16" t="inlineStr">
        <is>
          <t>Medium</t>
        </is>
      </c>
      <c r="L297" s="16" t="inlineStr">
        <is>
          <t>Medium</t>
        </is>
      </c>
      <c r="M297" s="16" t="inlineStr">
        <is>
          <t>Possible</t>
        </is>
      </c>
      <c r="N297" s="21">
        <f>IF(OR(L297="",M297=""),"",IF(L297="Critical",4,IF(L297="High",3,IF(L297="Medium",2,1)))*IF(M297="Almost Certain",5,IF(M297="Likely",4,IF(M297="Possible",3,IF(M297="Unlikely",2,1)))))</f>
        <v/>
      </c>
      <c r="O297" s="20" t="inlineStr"/>
      <c r="P297" s="20" t="inlineStr"/>
      <c r="Q297" s="20" t="inlineStr"/>
      <c r="R297" s="21">
        <f>IF(O297="","",IF(Q297&lt;&gt;"",Q297-O297,TODAY()-O297))</f>
        <v/>
      </c>
      <c r="S297" s="17">
        <f>IF(R297="","",IF(R297&lt;=30,"0-30 Days",IF(R297&lt;=60,"31-60 Days",IF(R297&lt;=90,"61-90 Days",IF(R297&lt;=180,"91-180 Days","181+ Days")))))</f>
        <v/>
      </c>
      <c r="T297" s="16" t="inlineStr">
        <is>
          <t>Medium</t>
        </is>
      </c>
      <c r="U297" s="16" t="inlineStr">
        <is>
          <t>Pending</t>
        </is>
      </c>
      <c r="V297" s="16" t="inlineStr"/>
      <c r="W297" s="16" t="inlineStr"/>
      <c r="X297" s="16" t="inlineStr"/>
    </row>
    <row r="298">
      <c r="A298" s="16" t="inlineStr"/>
      <c r="B298" s="16" t="inlineStr"/>
      <c r="C298" s="17" t="inlineStr"/>
      <c r="D298" s="17" t="inlineStr"/>
      <c r="E298" s="16" t="inlineStr"/>
      <c r="F298" s="16" t="inlineStr"/>
      <c r="G298" s="16" t="inlineStr"/>
      <c r="H298" s="16" t="inlineStr"/>
      <c r="I298" s="16" t="inlineStr"/>
      <c r="J298" s="16" t="inlineStr">
        <is>
          <t>Open</t>
        </is>
      </c>
      <c r="K298" s="16" t="inlineStr">
        <is>
          <t>Medium</t>
        </is>
      </c>
      <c r="L298" s="16" t="inlineStr">
        <is>
          <t>Medium</t>
        </is>
      </c>
      <c r="M298" s="16" t="inlineStr">
        <is>
          <t>Possible</t>
        </is>
      </c>
      <c r="N298" s="21">
        <f>IF(OR(L298="",M298=""),"",IF(L298="Critical",4,IF(L298="High",3,IF(L298="Medium",2,1)))*IF(M298="Almost Certain",5,IF(M298="Likely",4,IF(M298="Possible",3,IF(M298="Unlikely",2,1)))))</f>
        <v/>
      </c>
      <c r="O298" s="20" t="inlineStr"/>
      <c r="P298" s="20" t="inlineStr"/>
      <c r="Q298" s="20" t="inlineStr"/>
      <c r="R298" s="21">
        <f>IF(O298="","",IF(Q298&lt;&gt;"",Q298-O298,TODAY()-O298))</f>
        <v/>
      </c>
      <c r="S298" s="17">
        <f>IF(R298="","",IF(R298&lt;=30,"0-30 Days",IF(R298&lt;=60,"31-60 Days",IF(R298&lt;=90,"61-90 Days",IF(R298&lt;=180,"91-180 Days","181+ Days")))))</f>
        <v/>
      </c>
      <c r="T298" s="16" t="inlineStr">
        <is>
          <t>Medium</t>
        </is>
      </c>
      <c r="U298" s="16" t="inlineStr">
        <is>
          <t>Pending</t>
        </is>
      </c>
      <c r="V298" s="16" t="inlineStr"/>
      <c r="W298" s="16" t="inlineStr"/>
      <c r="X298" s="16" t="inlineStr"/>
    </row>
    <row r="299">
      <c r="A299" s="16" t="inlineStr"/>
      <c r="B299" s="16" t="inlineStr"/>
      <c r="C299" s="17" t="inlineStr"/>
      <c r="D299" s="17" t="inlineStr"/>
      <c r="E299" s="16" t="inlineStr"/>
      <c r="F299" s="16" t="inlineStr"/>
      <c r="G299" s="16" t="inlineStr"/>
      <c r="H299" s="16" t="inlineStr"/>
      <c r="I299" s="16" t="inlineStr"/>
      <c r="J299" s="16" t="inlineStr">
        <is>
          <t>Open</t>
        </is>
      </c>
      <c r="K299" s="16" t="inlineStr">
        <is>
          <t>Medium</t>
        </is>
      </c>
      <c r="L299" s="16" t="inlineStr">
        <is>
          <t>Medium</t>
        </is>
      </c>
      <c r="M299" s="16" t="inlineStr">
        <is>
          <t>Possible</t>
        </is>
      </c>
      <c r="N299" s="21">
        <f>IF(OR(L299="",M299=""),"",IF(L299="Critical",4,IF(L299="High",3,IF(L299="Medium",2,1)))*IF(M299="Almost Certain",5,IF(M299="Likely",4,IF(M299="Possible",3,IF(M299="Unlikely",2,1)))))</f>
        <v/>
      </c>
      <c r="O299" s="20" t="inlineStr"/>
      <c r="P299" s="20" t="inlineStr"/>
      <c r="Q299" s="20" t="inlineStr"/>
      <c r="R299" s="21">
        <f>IF(O299="","",IF(Q299&lt;&gt;"",Q299-O299,TODAY()-O299))</f>
        <v/>
      </c>
      <c r="S299" s="17">
        <f>IF(R299="","",IF(R299&lt;=30,"0-30 Days",IF(R299&lt;=60,"31-60 Days",IF(R299&lt;=90,"61-90 Days",IF(R299&lt;=180,"91-180 Days","181+ Days")))))</f>
        <v/>
      </c>
      <c r="T299" s="16" t="inlineStr">
        <is>
          <t>Medium</t>
        </is>
      </c>
      <c r="U299" s="16" t="inlineStr">
        <is>
          <t>Pending</t>
        </is>
      </c>
      <c r="V299" s="16" t="inlineStr"/>
      <c r="W299" s="16" t="inlineStr"/>
      <c r="X299" s="16" t="inlineStr"/>
    </row>
    <row r="300">
      <c r="A300" s="16" t="inlineStr"/>
      <c r="B300" s="16" t="inlineStr"/>
      <c r="C300" s="17" t="inlineStr"/>
      <c r="D300" s="17" t="inlineStr"/>
      <c r="E300" s="16" t="inlineStr"/>
      <c r="F300" s="16" t="inlineStr"/>
      <c r="G300" s="16" t="inlineStr"/>
      <c r="H300" s="16" t="inlineStr"/>
      <c r="I300" s="16" t="inlineStr"/>
      <c r="J300" s="16" t="inlineStr">
        <is>
          <t>Open</t>
        </is>
      </c>
      <c r="K300" s="16" t="inlineStr">
        <is>
          <t>Medium</t>
        </is>
      </c>
      <c r="L300" s="16" t="inlineStr">
        <is>
          <t>Medium</t>
        </is>
      </c>
      <c r="M300" s="16" t="inlineStr">
        <is>
          <t>Possible</t>
        </is>
      </c>
      <c r="N300" s="21">
        <f>IF(OR(L300="",M300=""),"",IF(L300="Critical",4,IF(L300="High",3,IF(L300="Medium",2,1)))*IF(M300="Almost Certain",5,IF(M300="Likely",4,IF(M300="Possible",3,IF(M300="Unlikely",2,1)))))</f>
        <v/>
      </c>
      <c r="O300" s="20" t="inlineStr"/>
      <c r="P300" s="20" t="inlineStr"/>
      <c r="Q300" s="20" t="inlineStr"/>
      <c r="R300" s="21">
        <f>IF(O300="","",IF(Q300&lt;&gt;"",Q300-O300,TODAY()-O300))</f>
        <v/>
      </c>
      <c r="S300" s="17">
        <f>IF(R300="","",IF(R300&lt;=30,"0-30 Days",IF(R300&lt;=60,"31-60 Days",IF(R300&lt;=90,"61-90 Days",IF(R300&lt;=180,"91-180 Days","181+ Days")))))</f>
        <v/>
      </c>
      <c r="T300" s="16" t="inlineStr">
        <is>
          <t>Medium</t>
        </is>
      </c>
      <c r="U300" s="16" t="inlineStr">
        <is>
          <t>Pending</t>
        </is>
      </c>
      <c r="V300" s="16" t="inlineStr"/>
      <c r="W300" s="16" t="inlineStr"/>
      <c r="X300" s="16" t="inlineStr"/>
    </row>
    <row r="301">
      <c r="A301" s="16" t="inlineStr"/>
      <c r="B301" s="16" t="inlineStr"/>
      <c r="C301" s="17" t="inlineStr"/>
      <c r="D301" s="17" t="inlineStr"/>
      <c r="E301" s="16" t="inlineStr"/>
      <c r="F301" s="16" t="inlineStr"/>
      <c r="G301" s="16" t="inlineStr"/>
      <c r="H301" s="16" t="inlineStr"/>
      <c r="I301" s="16" t="inlineStr"/>
      <c r="J301" s="16" t="inlineStr">
        <is>
          <t>Open</t>
        </is>
      </c>
      <c r="K301" s="16" t="inlineStr">
        <is>
          <t>Medium</t>
        </is>
      </c>
      <c r="L301" s="16" t="inlineStr">
        <is>
          <t>Medium</t>
        </is>
      </c>
      <c r="M301" s="16" t="inlineStr">
        <is>
          <t>Possible</t>
        </is>
      </c>
      <c r="N301" s="21">
        <f>IF(OR(L301="",M301=""),"",IF(L301="Critical",4,IF(L301="High",3,IF(L301="Medium",2,1)))*IF(M301="Almost Certain",5,IF(M301="Likely",4,IF(M301="Possible",3,IF(M301="Unlikely",2,1)))))</f>
        <v/>
      </c>
      <c r="O301" s="20" t="inlineStr"/>
      <c r="P301" s="20" t="inlineStr"/>
      <c r="Q301" s="20" t="inlineStr"/>
      <c r="R301" s="21">
        <f>IF(O301="","",IF(Q301&lt;&gt;"",Q301-O301,TODAY()-O301))</f>
        <v/>
      </c>
      <c r="S301" s="17">
        <f>IF(R301="","",IF(R301&lt;=30,"0-30 Days",IF(R301&lt;=60,"31-60 Days",IF(R301&lt;=90,"61-90 Days",IF(R301&lt;=180,"91-180 Days","181+ Days")))))</f>
        <v/>
      </c>
      <c r="T301" s="16" t="inlineStr">
        <is>
          <t>Medium</t>
        </is>
      </c>
      <c r="U301" s="16" t="inlineStr">
        <is>
          <t>Pending</t>
        </is>
      </c>
      <c r="V301" s="16" t="inlineStr"/>
      <c r="W301" s="16" t="inlineStr"/>
      <c r="X301" s="16" t="inlineStr"/>
    </row>
    <row r="302">
      <c r="A302" s="16" t="inlineStr"/>
      <c r="B302" s="16" t="inlineStr"/>
      <c r="C302" s="17" t="inlineStr"/>
      <c r="D302" s="17" t="inlineStr"/>
      <c r="E302" s="16" t="inlineStr"/>
      <c r="F302" s="16" t="inlineStr"/>
      <c r="G302" s="16" t="inlineStr"/>
      <c r="H302" s="16" t="inlineStr"/>
      <c r="I302" s="16" t="inlineStr"/>
      <c r="J302" s="16" t="inlineStr">
        <is>
          <t>Open</t>
        </is>
      </c>
      <c r="K302" s="16" t="inlineStr">
        <is>
          <t>Medium</t>
        </is>
      </c>
      <c r="L302" s="16" t="inlineStr">
        <is>
          <t>Medium</t>
        </is>
      </c>
      <c r="M302" s="16" t="inlineStr">
        <is>
          <t>Possible</t>
        </is>
      </c>
      <c r="N302" s="21">
        <f>IF(OR(L302="",M302=""),"",IF(L302="Critical",4,IF(L302="High",3,IF(L302="Medium",2,1)))*IF(M302="Almost Certain",5,IF(M302="Likely",4,IF(M302="Possible",3,IF(M302="Unlikely",2,1)))))</f>
        <v/>
      </c>
      <c r="O302" s="20" t="inlineStr"/>
      <c r="P302" s="20" t="inlineStr"/>
      <c r="Q302" s="20" t="inlineStr"/>
      <c r="R302" s="21">
        <f>IF(O302="","",IF(Q302&lt;&gt;"",Q302-O302,TODAY()-O302))</f>
        <v/>
      </c>
      <c r="S302" s="17">
        <f>IF(R302="","",IF(R302&lt;=30,"0-30 Days",IF(R302&lt;=60,"31-60 Days",IF(R302&lt;=90,"61-90 Days",IF(R302&lt;=180,"91-180 Days","181+ Days")))))</f>
        <v/>
      </c>
      <c r="T302" s="16" t="inlineStr">
        <is>
          <t>Medium</t>
        </is>
      </c>
      <c r="U302" s="16" t="inlineStr">
        <is>
          <t>Pending</t>
        </is>
      </c>
      <c r="V302" s="16" t="inlineStr"/>
      <c r="W302" s="16" t="inlineStr"/>
      <c r="X302" s="16" t="inlineStr"/>
    </row>
    <row r="303">
      <c r="A303" s="16" t="inlineStr"/>
      <c r="B303" s="16" t="inlineStr"/>
      <c r="C303" s="17" t="inlineStr"/>
      <c r="D303" s="17" t="inlineStr"/>
      <c r="E303" s="16" t="inlineStr"/>
      <c r="F303" s="16" t="inlineStr"/>
      <c r="G303" s="16" t="inlineStr"/>
      <c r="H303" s="16" t="inlineStr"/>
      <c r="I303" s="16" t="inlineStr"/>
      <c r="J303" s="16" t="inlineStr">
        <is>
          <t>Open</t>
        </is>
      </c>
      <c r="K303" s="16" t="inlineStr">
        <is>
          <t>Medium</t>
        </is>
      </c>
      <c r="L303" s="16" t="inlineStr">
        <is>
          <t>Medium</t>
        </is>
      </c>
      <c r="M303" s="16" t="inlineStr">
        <is>
          <t>Possible</t>
        </is>
      </c>
      <c r="N303" s="21">
        <f>IF(OR(L303="",M303=""),"",IF(L303="Critical",4,IF(L303="High",3,IF(L303="Medium",2,1)))*IF(M303="Almost Certain",5,IF(M303="Likely",4,IF(M303="Possible",3,IF(M303="Unlikely",2,1)))))</f>
        <v/>
      </c>
      <c r="O303" s="20" t="inlineStr"/>
      <c r="P303" s="20" t="inlineStr"/>
      <c r="Q303" s="20" t="inlineStr"/>
      <c r="R303" s="21">
        <f>IF(O303="","",IF(Q303&lt;&gt;"",Q303-O303,TODAY()-O303))</f>
        <v/>
      </c>
      <c r="S303" s="17">
        <f>IF(R303="","",IF(R303&lt;=30,"0-30 Days",IF(R303&lt;=60,"31-60 Days",IF(R303&lt;=90,"61-90 Days",IF(R303&lt;=180,"91-180 Days","181+ Days")))))</f>
        <v/>
      </c>
      <c r="T303" s="16" t="inlineStr">
        <is>
          <t>Medium</t>
        </is>
      </c>
      <c r="U303" s="16" t="inlineStr">
        <is>
          <t>Pending</t>
        </is>
      </c>
      <c r="V303" s="16" t="inlineStr"/>
      <c r="W303" s="16" t="inlineStr"/>
      <c r="X303" s="16" t="inlineStr"/>
    </row>
    <row r="304">
      <c r="A304" s="16" t="inlineStr"/>
      <c r="B304" s="16" t="inlineStr"/>
      <c r="C304" s="17" t="inlineStr"/>
      <c r="D304" s="17" t="inlineStr"/>
      <c r="E304" s="16" t="inlineStr"/>
      <c r="F304" s="16" t="inlineStr"/>
      <c r="G304" s="16" t="inlineStr"/>
      <c r="H304" s="16" t="inlineStr"/>
      <c r="I304" s="16" t="inlineStr"/>
      <c r="J304" s="16" t="inlineStr">
        <is>
          <t>Open</t>
        </is>
      </c>
      <c r="K304" s="16" t="inlineStr">
        <is>
          <t>Medium</t>
        </is>
      </c>
      <c r="L304" s="16" t="inlineStr">
        <is>
          <t>Medium</t>
        </is>
      </c>
      <c r="M304" s="16" t="inlineStr">
        <is>
          <t>Possible</t>
        </is>
      </c>
      <c r="N304" s="21">
        <f>IF(OR(L304="",M304=""),"",IF(L304="Critical",4,IF(L304="High",3,IF(L304="Medium",2,1)))*IF(M304="Almost Certain",5,IF(M304="Likely",4,IF(M304="Possible",3,IF(M304="Unlikely",2,1)))))</f>
        <v/>
      </c>
      <c r="O304" s="20" t="inlineStr"/>
      <c r="P304" s="20" t="inlineStr"/>
      <c r="Q304" s="20" t="inlineStr"/>
      <c r="R304" s="21">
        <f>IF(O304="","",IF(Q304&lt;&gt;"",Q304-O304,TODAY()-O304))</f>
        <v/>
      </c>
      <c r="S304" s="17">
        <f>IF(R304="","",IF(R304&lt;=30,"0-30 Days",IF(R304&lt;=60,"31-60 Days",IF(R304&lt;=90,"61-90 Days",IF(R304&lt;=180,"91-180 Days","181+ Days")))))</f>
        <v/>
      </c>
      <c r="T304" s="16" t="inlineStr">
        <is>
          <t>Medium</t>
        </is>
      </c>
      <c r="U304" s="16" t="inlineStr">
        <is>
          <t>Pending</t>
        </is>
      </c>
      <c r="V304" s="16" t="inlineStr"/>
      <c r="W304" s="16" t="inlineStr"/>
      <c r="X304" s="16" t="inlineStr"/>
    </row>
    <row r="305">
      <c r="A305" s="16" t="inlineStr"/>
      <c r="B305" s="16" t="inlineStr"/>
      <c r="C305" s="17" t="inlineStr"/>
      <c r="D305" s="17" t="inlineStr"/>
      <c r="E305" s="16" t="inlineStr"/>
      <c r="F305" s="16" t="inlineStr"/>
      <c r="G305" s="16" t="inlineStr"/>
      <c r="H305" s="16" t="inlineStr"/>
      <c r="I305" s="16" t="inlineStr"/>
      <c r="J305" s="16" t="inlineStr">
        <is>
          <t>Open</t>
        </is>
      </c>
      <c r="K305" s="16" t="inlineStr">
        <is>
          <t>Medium</t>
        </is>
      </c>
      <c r="L305" s="16" t="inlineStr">
        <is>
          <t>Medium</t>
        </is>
      </c>
      <c r="M305" s="16" t="inlineStr">
        <is>
          <t>Possible</t>
        </is>
      </c>
      <c r="N305" s="21">
        <f>IF(OR(L305="",M305=""),"",IF(L305="Critical",4,IF(L305="High",3,IF(L305="Medium",2,1)))*IF(M305="Almost Certain",5,IF(M305="Likely",4,IF(M305="Possible",3,IF(M305="Unlikely",2,1)))))</f>
        <v/>
      </c>
      <c r="O305" s="20" t="inlineStr"/>
      <c r="P305" s="20" t="inlineStr"/>
      <c r="Q305" s="20" t="inlineStr"/>
      <c r="R305" s="21">
        <f>IF(O305="","",IF(Q305&lt;&gt;"",Q305-O305,TODAY()-O305))</f>
        <v/>
      </c>
      <c r="S305" s="17">
        <f>IF(R305="","",IF(R305&lt;=30,"0-30 Days",IF(R305&lt;=60,"31-60 Days",IF(R305&lt;=90,"61-90 Days",IF(R305&lt;=180,"91-180 Days","181+ Days")))))</f>
        <v/>
      </c>
      <c r="T305" s="16" t="inlineStr">
        <is>
          <t>Medium</t>
        </is>
      </c>
      <c r="U305" s="16" t="inlineStr">
        <is>
          <t>Pending</t>
        </is>
      </c>
      <c r="V305" s="16" t="inlineStr"/>
      <c r="W305" s="16" t="inlineStr"/>
      <c r="X305" s="16" t="inlineStr"/>
    </row>
  </sheetData>
  <autoFilter ref="A5:X305"/>
  <mergeCells count="2">
    <mergeCell ref="A1:X2"/>
    <mergeCell ref="A3:X3"/>
  </mergeCells>
  <conditionalFormatting sqref="J6:J305">
    <cfRule type="expression" priority="1" dxfId="0">
      <formula>J6="Closed"</formula>
    </cfRule>
    <cfRule type="expression" priority="2" dxfId="0">
      <formula>J6="Completed"</formula>
    </cfRule>
    <cfRule type="expression" priority="3" dxfId="2">
      <formula>J6="In Progress"</formula>
    </cfRule>
    <cfRule type="expression" priority="4" dxfId="1">
      <formula>J6="Open"</formula>
    </cfRule>
  </conditionalFormatting>
  <conditionalFormatting sqref="N6:N305">
    <cfRule type="expression" priority="5" dxfId="1">
      <formula>N6&gt;=15</formula>
    </cfRule>
    <cfRule type="expression" priority="6" dxfId="2">
      <formula>AND(N6&gt;=8,N6&lt;15)</formula>
    </cfRule>
  </conditionalFormatting>
  <conditionalFormatting sqref="P6:P305">
    <cfRule type="expression" priority="7" dxfId="1">
      <formula>AND(P6&lt;TODAY(),P6&lt;&gt;"",J6&lt;&gt;"Closed",J6&lt;&gt;"Completed")</formula>
    </cfRule>
  </conditionalFormatting>
  <conditionalFormatting sqref="S6:S305">
    <cfRule type="expression" priority="8" dxfId="1">
      <formula>S6="181+ Days"</formula>
    </cfRule>
    <cfRule type="expression" priority="9" dxfId="2">
      <formula>OR(S6="61-90 Days",S6="91-180 Days")</formula>
    </cfRule>
  </conditionalFormatting>
  <dataValidations count="7">
    <dataValidation sqref="J6:J305" showDropDown="0" showInputMessage="0" showErrorMessage="0" allowBlank="0" type="list">
      <formula1>"Open,In Progress,On Hold,Deferred,Completed,Closed,Risk Accepted"</formula1>
    </dataValidation>
    <dataValidation sqref="K6:K305" showDropDown="0" showInputMessage="0" showErrorMessage="0" allowBlank="0" type="list">
      <formula1>"Critical,High,Medium,Low"</formula1>
    </dataValidation>
    <dataValidation sqref="L6:L305" showDropDown="0" showInputMessage="0" showErrorMessage="0" allowBlank="0" type="list">
      <formula1>"Critical,High,Medium,Low"</formula1>
    </dataValidation>
    <dataValidation sqref="M6:M305" showDropDown="0" showInputMessage="0" showErrorMessage="0" allowBlank="0" type="list">
      <formula1>"Almost Certain,Likely,Possible,Unlikely,Rare"</formula1>
    </dataValidation>
    <dataValidation sqref="T6:T305" showDropDown="0" showInputMessage="0" showErrorMessage="0" allowBlank="0" type="list">
      <formula1>"Critical,High,Medium,Low,Accepted"</formula1>
    </dataValidation>
    <dataValidation sqref="U6:U305" showDropDown="0" showInputMessage="0" showErrorMessage="0" allowBlank="0" type="list">
      <formula1>"Pending,In Review,Verified,Rejected,Accepted,Not Required"</formula1>
    </dataValidation>
    <dataValidation sqref="O6:Q305" showDropDown="0" showInputMessage="0" showErrorMessage="0" allowBlank="1" type="date" operator="between">
      <formula1>DATE(2000,1,1)</formula1>
      <formula2>DATE(2100,12,31)</formula2>
    </dataValidation>
  </dataValidations>
  <pageMargins left="0.25" right="0.25" top="0.5" bottom="0.5"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SSP Crosswalk</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Map CMMC requirements to System Security Plan sections, policies, procedures, and owners.</t>
        </is>
      </c>
      <c r="B3" s="2" t="n"/>
      <c r="C3" s="2" t="n"/>
      <c r="D3" s="2" t="n"/>
      <c r="E3" s="2" t="n"/>
      <c r="F3" s="2" t="n"/>
      <c r="G3" s="2" t="n"/>
      <c r="H3" s="2" t="n"/>
      <c r="I3" s="2" t="n"/>
      <c r="J3" s="2" t="n"/>
    </row>
    <row r="6">
      <c r="B6" s="22"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Assessment History</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Store historical assessment snapshots and track score and readiness trends.</t>
        </is>
      </c>
      <c r="B3" s="2" t="n"/>
      <c r="C3" s="2" t="n"/>
      <c r="D3" s="2" t="n"/>
      <c r="E3" s="2" t="n"/>
      <c r="F3" s="2" t="n"/>
      <c r="G3" s="2" t="n"/>
      <c r="H3" s="2" t="n"/>
      <c r="I3" s="2" t="n"/>
      <c r="J3" s="2" t="n"/>
    </row>
    <row r="6">
      <c r="B6" s="22"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J8"/>
  <sheetViews>
    <sheetView showGridLines="0" zoomScale="9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26" customHeight="1">
      <c r="A1" s="1" t="inlineStr">
        <is>
          <t>Executive Report</t>
        </is>
      </c>
      <c r="B1" s="2" t="n"/>
      <c r="C1" s="2" t="n"/>
      <c r="D1" s="2" t="n"/>
      <c r="E1" s="2" t="n"/>
      <c r="F1" s="2" t="n"/>
      <c r="G1" s="2" t="n"/>
      <c r="H1" s="2" t="n"/>
      <c r="I1" s="2" t="n"/>
      <c r="J1" s="2" t="n"/>
    </row>
    <row r="2" ht="14" customHeight="1">
      <c r="A2" s="2" t="n"/>
      <c r="B2" s="2" t="n"/>
      <c r="C2" s="2" t="n"/>
      <c r="D2" s="2" t="n"/>
      <c r="E2" s="2" t="n"/>
      <c r="F2" s="2" t="n"/>
      <c r="G2" s="2" t="n"/>
      <c r="H2" s="2" t="n"/>
      <c r="I2" s="2" t="n"/>
      <c r="J2" s="2" t="n"/>
    </row>
    <row r="3" ht="22" customHeight="1">
      <c r="A3" s="3" t="inlineStr">
        <is>
          <t>Printable management summary of assessment results, risks, and remediation priorities.</t>
        </is>
      </c>
      <c r="B3" s="2" t="n"/>
      <c r="C3" s="2" t="n"/>
      <c r="D3" s="2" t="n"/>
      <c r="E3" s="2" t="n"/>
      <c r="F3" s="2" t="n"/>
      <c r="G3" s="2" t="n"/>
      <c r="H3" s="2" t="n"/>
      <c r="I3" s="2" t="n"/>
      <c r="J3" s="2" t="n"/>
    </row>
    <row r="6">
      <c r="B6" s="22" t="inlineStr">
        <is>
          <t>This module will be implemented in the next workbook sprint.</t>
        </is>
      </c>
    </row>
    <row r="7"/>
    <row r="8"/>
  </sheetData>
  <mergeCells count="3">
    <mergeCell ref="A1:J2"/>
    <mergeCell ref="B6:H8"/>
    <mergeCell ref="A3:J3"/>
  </mergeCells>
  <pageMargins left="0.25" right="0.25" top="0.5" bottom="0.5"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H15"/>
  <sheetViews>
    <sheetView showGridLines="0" zoomScale="90" workbookViewId="0">
      <selection activeCell="A1" sqref="A1"/>
    </sheetView>
  </sheetViews>
  <sheetFormatPr baseColWidth="8" defaultRowHeight="15"/>
  <cols>
    <col width="34" customWidth="1" min="2" max="2"/>
    <col width="42" customWidth="1" min="3" max="3"/>
  </cols>
  <sheetData>
    <row r="1" ht="26" customHeight="1">
      <c r="A1" s="1" t="inlineStr">
        <is>
          <t>Workbook Settings</t>
        </is>
      </c>
      <c r="B1" s="2" t="n"/>
      <c r="C1" s="2" t="n"/>
      <c r="D1" s="2" t="n"/>
      <c r="E1" s="2" t="n"/>
      <c r="F1" s="2" t="n"/>
      <c r="G1" s="2" t="n"/>
      <c r="H1" s="2" t="n"/>
    </row>
    <row r="2" ht="14" customHeight="1">
      <c r="A2" s="2" t="n"/>
      <c r="B2" s="2" t="n"/>
      <c r="C2" s="2" t="n"/>
      <c r="D2" s="2" t="n"/>
      <c r="E2" s="2" t="n"/>
      <c r="F2" s="2" t="n"/>
      <c r="G2" s="2" t="n"/>
      <c r="H2" s="2" t="n"/>
    </row>
    <row r="3" ht="22" customHeight="1">
      <c r="A3" s="3" t="inlineStr">
        <is>
          <t>Workbook configuration and official scoring metadata</t>
        </is>
      </c>
      <c r="B3" s="2" t="n"/>
      <c r="C3" s="2" t="n"/>
      <c r="D3" s="2" t="n"/>
      <c r="E3" s="2" t="n"/>
      <c r="F3" s="2" t="n"/>
      <c r="G3" s="2" t="n"/>
      <c r="H3" s="2" t="n"/>
    </row>
    <row r="6">
      <c r="B6" s="23" t="inlineStr">
        <is>
          <t>Workbook Version</t>
        </is>
      </c>
      <c r="C6" s="24" t="inlineStr">
        <is>
          <t>0.2</t>
        </is>
      </c>
    </row>
    <row r="7">
      <c r="B7" s="23" t="inlineStr">
        <is>
          <t>Assessment Guide Version</t>
        </is>
      </c>
      <c r="C7" s="24" t="inlineStr">
        <is>
          <t>2.13</t>
        </is>
      </c>
    </row>
    <row r="8">
      <c r="B8" s="23" t="inlineStr">
        <is>
          <t>Maximum Score</t>
        </is>
      </c>
      <c r="C8" s="24" t="n">
        <v>110</v>
      </c>
    </row>
    <row r="9">
      <c r="B9" s="23" t="inlineStr">
        <is>
          <t>Maximum Deduction</t>
        </is>
      </c>
      <c r="C9" s="24" t="n">
        <v>314</v>
      </c>
    </row>
    <row r="10">
      <c r="B10" s="23" t="inlineStr">
        <is>
          <t>Mathematical Minimum Score</t>
        </is>
      </c>
      <c r="C10" s="24" t="n">
        <v>-204</v>
      </c>
    </row>
    <row r="11">
      <c r="B11" s="23" t="inlineStr">
        <is>
          <t>Requirement Count</t>
        </is>
      </c>
      <c r="C11" s="24" t="n">
        <v>110</v>
      </c>
    </row>
    <row r="12">
      <c r="B12" s="23" t="inlineStr">
        <is>
          <t>Partial Credit Requirements</t>
        </is>
      </c>
      <c r="C12" s="24" t="n">
        <v>2</v>
      </c>
    </row>
    <row r="13">
      <c r="B13" s="23" t="inlineStr">
        <is>
          <t>Assessment Level</t>
        </is>
      </c>
      <c r="C13" s="24" t="inlineStr">
        <is>
          <t>CMMC Level 2</t>
        </is>
      </c>
    </row>
    <row r="14">
      <c r="B14" s="23" t="inlineStr">
        <is>
          <t>Scoring Source</t>
        </is>
      </c>
      <c r="C14" s="24" t="inlineStr">
        <is>
          <t>32 CFR 170.24</t>
        </is>
      </c>
    </row>
    <row r="15">
      <c r="B15" s="23" t="inlineStr">
        <is>
          <t>Workbook Generated By</t>
        </is>
      </c>
      <c r="C15" s="24" t="inlineStr">
        <is>
          <t>CMMC Assessment Platform</t>
        </is>
      </c>
    </row>
  </sheetData>
  <mergeCells count="2">
    <mergeCell ref="A1:H2"/>
    <mergeCell ref="A3:H3"/>
  </mergeCells>
  <pageMargins left="0.25" right="0.25" top="0.5" bottom="0.5" header="0.5" footer="0.5"/>
  <pageSetup orientation="landscape" fitToHeight="0" fitToWidth="1"/>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Assessment Status</t>
        </is>
      </c>
      <c r="B1" t="inlineStr">
        <is>
          <t>Evidence Status</t>
        </is>
      </c>
      <c r="C1" t="inlineStr">
        <is>
          <t>Yes / No</t>
        </is>
      </c>
      <c r="D1" t="inlineStr">
        <is>
          <t>Implementation State</t>
        </is>
      </c>
    </row>
    <row r="2">
      <c r="A2" t="inlineStr">
        <is>
          <t>MET</t>
        </is>
      </c>
      <c r="B2" t="inlineStr">
        <is>
          <t>Not Started</t>
        </is>
      </c>
      <c r="C2" t="inlineStr">
        <is>
          <t>Yes</t>
        </is>
      </c>
      <c r="D2" t="inlineStr">
        <is>
          <t>FULLY IMPLEMENTED</t>
        </is>
      </c>
    </row>
    <row r="3">
      <c r="A3" t="inlineStr">
        <is>
          <t>NOT MET</t>
        </is>
      </c>
      <c r="B3" t="inlineStr">
        <is>
          <t>In Progress</t>
        </is>
      </c>
      <c r="C3" t="inlineStr">
        <is>
          <t>No</t>
        </is>
      </c>
      <c r="D3" t="inlineStr">
        <is>
          <t>PARTIALLY IMPLEMENTED</t>
        </is>
      </c>
    </row>
    <row r="4">
      <c r="A4" t="inlineStr">
        <is>
          <t>NOT APPLICABLE</t>
        </is>
      </c>
      <c r="B4" t="inlineStr">
        <is>
          <t>Complete</t>
        </is>
      </c>
      <c r="D4" t="inlineStr">
        <is>
          <t>NOT IMPLEMENTED</t>
        </is>
      </c>
    </row>
    <row r="5">
      <c r="A5" t="inlineStr">
        <is>
          <t>NOT ASSESSED</t>
        </is>
      </c>
      <c r="B5" t="inlineStr">
        <is>
          <t>Not Applicable</t>
        </is>
      </c>
      <c r="D5" t="inlineStr">
        <is>
          <t>NOT APPLICABLE</t>
        </is>
      </c>
    </row>
    <row r="6">
      <c r="D6" t="inlineStr">
        <is>
          <t>NOT ASSESSED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2026-08-07T06:14:14Z</dcterms:created>
  <dcterms:modified xsi:type="dcterms:W3CDTF">2026-08-07T06:14:25Z</dcterms:modified>
</cp:coreProperties>
</file>