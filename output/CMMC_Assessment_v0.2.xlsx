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ashboard" sheetId="2" state="visible" r:id="rId2"/>
    <sheet name="Assessment" sheetId="3" state="visible" r:id="rId3"/>
    <sheet name="Domain Summary" sheetId="4" state="visible" r:id="rId4"/>
    <sheet name="Evidence" sheetId="5" state="visible" r:id="rId5"/>
    <sheet name="POA&amp;M" sheetId="6" state="visible" r:id="rId6"/>
    <sheet name="SSP Crosswalk" sheetId="7" state="visible" r:id="rId7"/>
    <sheet name="Assessment History" sheetId="8" state="visible" r:id="rId8"/>
    <sheet name="Executive Report" sheetId="9" state="visible" r:id="rId9"/>
    <sheet name="Settings" sheetId="10" state="visible" r:id="rId10"/>
    <sheet name="_Lists" sheetId="11" state="veryHidden" r:id="rId11"/>
  </sheets>
  <definedNames>
    <definedName name="_xlnm._FilterDatabase" localSheetId="2" hidden="1">'Assessment'!$A$5:$V$115</definedName>
    <definedName name="_xlnm.Print_Titles" localSheetId="2">'Assessment'!$1:$5</definedName>
    <definedName name="_xlnm.Print_Area" localSheetId="2">'Assessment'!$A$1:$V$115</definedName>
    <definedName name="_xlnm._FilterDatabase" localSheetId="3" hidden="1">'Domain Summary'!$A$5:$J$19</definedName>
  </definedNames>
  <calcPr calcId="124519" calcMode="auto" fullCalcOnLoad="1" forceFullCalc="1"/>
</workbook>
</file>

<file path=xl/styles.xml><?xml version="1.0" encoding="utf-8"?>
<styleSheet xmlns="http://schemas.openxmlformats.org/spreadsheetml/2006/main">
  <numFmts count="0"/>
  <fonts count="7">
    <font>
      <name val="Calibri"/>
      <family val="2"/>
      <color theme="1"/>
      <sz val="11"/>
      <scheme val="minor"/>
    </font>
    <font>
      <name val="Aptos Display"/>
      <b val="1"/>
      <color rgb="00FFFFFF"/>
      <sz val="24"/>
    </font>
    <font>
      <name val="Aptos"/>
      <color rgb="00FFFFFF"/>
      <sz val="12"/>
    </font>
    <font>
      <name val="Aptos"/>
      <b val="1"/>
      <color rgb="00FFFFFF"/>
      <sz val="10"/>
    </font>
    <font>
      <name val="Aptos"/>
      <color rgb="002F75B5"/>
      <sz val="10"/>
    </font>
    <font>
      <name val="Aptos Display"/>
      <b val="1"/>
      <color rgb="00FFFFFF"/>
      <sz val="14"/>
    </font>
    <font>
      <name val="Aptos"/>
      <color rgb="00000000"/>
      <sz val="10"/>
    </font>
  </fonts>
  <fills count="8">
    <fill>
      <patternFill/>
    </fill>
    <fill>
      <patternFill patternType="gray125"/>
    </fill>
    <fill>
      <patternFill patternType="solid">
        <fgColor rgb="000B1F33"/>
      </patternFill>
    </fill>
    <fill>
      <patternFill patternType="solid">
        <fgColor rgb="0017365D"/>
      </patternFill>
    </fill>
    <fill>
      <patternFill patternType="solid">
        <fgColor rgb="00FFFDEB"/>
      </patternFill>
    </fill>
    <fill>
      <patternFill patternType="solid">
        <fgColor rgb="00D9EAF7"/>
      </patternFill>
    </fill>
    <fill>
      <patternFill patternType="solid">
        <fgColor rgb="002F75B5"/>
      </patternFill>
    </fill>
    <fill>
      <patternFill patternType="solid">
        <fgColor rgb="00F4F6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top" wrapText="1"/>
    </xf>
    <xf numFmtId="0" fontId="0" fillId="2" borderId="0" pivotButton="0" quotePrefix="0" xfId="0"/>
    <xf numFmtId="0" fontId="2" fillId="2" borderId="0"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applyProtection="1" pivotButton="0" quotePrefix="0" xfId="0">
      <alignment horizontal="left" vertical="top" wrapText="1"/>
      <protection locked="0" hidden="0"/>
    </xf>
    <xf numFmtId="0" fontId="5" fillId="3" borderId="0" pivotButton="0" quotePrefix="0" xfId="0"/>
    <xf numFmtId="0" fontId="6" fillId="5" borderId="1" applyAlignment="1" pivotButton="0" quotePrefix="0" xfId="0">
      <alignment horizontal="left" vertical="top" wrapText="1"/>
    </xf>
    <xf numFmtId="0" fontId="3" fillId="6" borderId="1" applyAlignment="1" pivotButton="0" quotePrefix="0" xfId="0">
      <alignment horizontal="center" vertical="center" wrapText="1"/>
    </xf>
    <xf numFmtId="0" fontId="1" fillId="3" borderId="1" applyAlignment="1" pivotButton="0" quotePrefix="0" xfId="0">
      <alignment horizontal="center" vertical="center" wrapText="1"/>
    </xf>
    <xf numFmtId="9" fontId="0" fillId="7" borderId="1" applyAlignment="1" pivotButton="0" quotePrefix="0" xfId="0">
      <alignment horizontal="center" vertical="center" wrapText="1"/>
    </xf>
    <xf numFmtId="1" fontId="0" fillId="7" borderId="1" applyAlignment="1" pivotButton="0" quotePrefix="0" xfId="0">
      <alignment horizontal="center" vertical="center" wrapText="1"/>
    </xf>
    <xf numFmtId="0" fontId="3" fillId="6" borderId="1" pivotButton="0" quotePrefix="0" xfId="0"/>
    <xf numFmtId="0" fontId="0" fillId="7" borderId="1" applyAlignment="1" pivotButton="0" quotePrefix="0" xfId="0">
      <alignment horizontal="center" vertical="center" wrapText="1"/>
    </xf>
    <xf numFmtId="0" fontId="6" fillId="0" borderId="1" applyAlignment="1" pivotButton="0" quotePrefix="0" xfId="0">
      <alignment horizontal="left" vertical="top" wrapText="1"/>
    </xf>
    <xf numFmtId="0" fontId="6" fillId="4" borderId="1" applyAlignment="1" applyProtection="1" pivotButton="0" quotePrefix="0" xfId="0">
      <alignment horizontal="left" vertical="top" wrapText="1"/>
      <protection locked="0" hidden="0"/>
    </xf>
    <xf numFmtId="0" fontId="6" fillId="7" borderId="1" applyAlignment="1" pivotButton="0" quotePrefix="0" xfId="0">
      <alignment horizontal="left" vertical="top" wrapText="1"/>
    </xf>
    <xf numFmtId="0" fontId="6" fillId="0" borderId="1" applyAlignment="1" pivotButton="0" quotePrefix="0" xfId="0">
      <alignment horizontal="center" vertical="center" wrapText="1"/>
    </xf>
    <xf numFmtId="9" fontId="6"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3" fillId="3" borderId="1" pivotButton="0" quotePrefix="0" xfId="0"/>
    <xf numFmtId="0" fontId="6" fillId="7" borderId="1" pivotButton="0" quotePrefix="0" xfId="0"/>
  </cellXfs>
  <cellStyles count="1">
    <cellStyle name="Normal" xfId="0" builtinId="0" hidden="0"/>
  </cellStyles>
  <dxfs count="3">
    <dxf>
      <fill>
        <patternFill patternType="solid">
          <fgColor rgb="00E2F0D9"/>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4"/>
  <sheetViews>
    <sheetView showGridLines="0" zoomScale="90" workbookViewId="0">
      <selection activeCell="A1" sqref="A1"/>
    </sheetView>
  </sheetViews>
  <sheetFormatPr baseColWidth="8" defaultRowHeight="15"/>
  <cols>
    <col width="3" customWidth="1" min="1" max="1"/>
    <col width="28" customWidth="1" min="2" max="2"/>
    <col width="48" customWidth="1" min="3" max="3"/>
    <col width="4" customWidth="1" min="4" max="4"/>
    <col width="18" customWidth="1" min="5" max="5"/>
    <col width="18" customWidth="1" min="6" max="6"/>
    <col width="18" customWidth="1" min="7" max="7"/>
    <col width="18" customWidth="1" min="8" max="8"/>
    <col width="18" customWidth="1" min="9" max="9"/>
    <col width="18" customWidth="1" min="10" max="10"/>
  </cols>
  <sheetData>
    <row r="1" ht="26" customHeight="1">
      <c r="A1" s="1" t="inlineStr">
        <is>
          <t>CMMC Level 2 Assessment Platform</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Assessment readiness, evidence, POA&amp;M, SSP mapping, and weighted scoring workbook</t>
        </is>
      </c>
      <c r="B3" s="2" t="n"/>
      <c r="C3" s="2" t="n"/>
      <c r="D3" s="2" t="n"/>
      <c r="E3" s="2" t="n"/>
      <c r="F3" s="2" t="n"/>
      <c r="G3" s="2" t="n"/>
      <c r="H3" s="2" t="n"/>
      <c r="I3" s="2" t="n"/>
      <c r="J3" s="2" t="n"/>
    </row>
    <row r="6">
      <c r="B6" s="4" t="inlineStr">
        <is>
          <t>Organization Name</t>
        </is>
      </c>
      <c r="C6" s="5" t="inlineStr"/>
    </row>
    <row r="7">
      <c r="B7" s="4" t="inlineStr">
        <is>
          <t>Assessment Name</t>
        </is>
      </c>
      <c r="C7" s="5" t="inlineStr"/>
    </row>
    <row r="8">
      <c r="B8" s="4" t="inlineStr">
        <is>
          <t>Assessment Scope</t>
        </is>
      </c>
      <c r="C8" s="5" t="inlineStr"/>
    </row>
    <row r="9">
      <c r="B9" s="4" t="inlineStr">
        <is>
          <t>CAGE Code</t>
        </is>
      </c>
      <c r="C9" s="5" t="inlineStr"/>
    </row>
    <row r="10">
      <c r="B10" s="4" t="inlineStr">
        <is>
          <t>Assessment Type</t>
        </is>
      </c>
      <c r="C10" s="5" t="inlineStr">
        <is>
          <t>Level 2 Self-Assessment</t>
        </is>
      </c>
    </row>
    <row r="11">
      <c r="B11" s="4" t="inlineStr">
        <is>
          <t>Assessment Start Date</t>
        </is>
      </c>
      <c r="C11" s="5" t="inlineStr"/>
    </row>
    <row r="12">
      <c r="B12" s="4" t="inlineStr">
        <is>
          <t>Assessment End Date</t>
        </is>
      </c>
      <c r="C12" s="5" t="inlineStr"/>
    </row>
    <row r="13">
      <c r="B13" s="4" t="inlineStr">
        <is>
          <t>Lead Assessor</t>
        </is>
      </c>
      <c r="C13" s="5" t="inlineStr"/>
    </row>
    <row r="14">
      <c r="B14" s="4" t="inlineStr">
        <is>
          <t>Workbook Version</t>
        </is>
      </c>
      <c r="C14" s="5" t="inlineStr">
        <is>
          <t>0.2</t>
        </is>
      </c>
    </row>
    <row r="15">
      <c r="B15" s="4" t="inlineStr">
        <is>
          <t>Assessment Guide</t>
        </is>
      </c>
      <c r="C15" s="5" t="inlineStr">
        <is>
          <t>Level 2 Version 2.13</t>
        </is>
      </c>
    </row>
    <row r="16">
      <c r="B16" s="4" t="inlineStr">
        <is>
          <t>Scoring Source</t>
        </is>
      </c>
      <c r="C16" s="5" t="inlineStr">
        <is>
          <t>32 CFR 170.24</t>
        </is>
      </c>
    </row>
    <row r="19">
      <c r="B19" s="6" t="inlineStr">
        <is>
          <t>Instructions</t>
        </is>
      </c>
    </row>
    <row r="20">
      <c r="B20" s="7" t="inlineStr">
        <is>
          <t>Complete the organization metadata above, then evaluate all 110 requirements on the Assessment worksheet. Yellow cells are user-input fields. Gray cells contain formulas or official scoring metadata. Requirements IA.L2-3.5.3 and SC.L2-3.13.11 include limited partial-credit implementation-state options.</t>
        </is>
      </c>
    </row>
    <row r="21"/>
    <row r="22"/>
    <row r="23"/>
    <row r="24"/>
  </sheetData>
  <mergeCells count="3">
    <mergeCell ref="A1:J2"/>
    <mergeCell ref="A3:J3"/>
    <mergeCell ref="B20:H24"/>
  </mergeCells>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15"/>
  <sheetViews>
    <sheetView showGridLines="0" zoomScale="9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26" customHeight="1">
      <c r="A1" s="1" t="inlineStr">
        <is>
          <t>Executive Dashboard</t>
        </is>
      </c>
      <c r="B1" s="2" t="n"/>
      <c r="C1" s="2" t="n"/>
      <c r="D1" s="2" t="n"/>
      <c r="E1" s="2" t="n"/>
      <c r="F1" s="2" t="n"/>
      <c r="G1" s="2" t="n"/>
      <c r="H1" s="2" t="n"/>
      <c r="I1" s="2" t="n"/>
      <c r="J1" s="2" t="n"/>
      <c r="K1" s="2" t="n"/>
      <c r="L1" s="2" t="n"/>
      <c r="M1" s="2" t="n"/>
    </row>
    <row r="2" ht="14" customHeight="1">
      <c r="A2" s="2" t="n"/>
      <c r="B2" s="2" t="n"/>
      <c r="C2" s="2" t="n"/>
      <c r="D2" s="2" t="n"/>
      <c r="E2" s="2" t="n"/>
      <c r="F2" s="2" t="n"/>
      <c r="G2" s="2" t="n"/>
      <c r="H2" s="2" t="n"/>
      <c r="I2" s="2" t="n"/>
      <c r="J2" s="2" t="n"/>
      <c r="K2" s="2" t="n"/>
      <c r="L2" s="2" t="n"/>
      <c r="M2" s="2" t="n"/>
    </row>
    <row r="3" ht="22" customHeight="1">
      <c r="A3" s="3" t="inlineStr">
        <is>
          <t>Weighted CMMC Level 2 assessment and readiness summary</t>
        </is>
      </c>
      <c r="B3" s="2" t="n"/>
      <c r="C3" s="2" t="n"/>
      <c r="D3" s="2" t="n"/>
      <c r="E3" s="2" t="n"/>
      <c r="F3" s="2" t="n"/>
      <c r="G3" s="2" t="n"/>
      <c r="H3" s="2" t="n"/>
      <c r="I3" s="2" t="n"/>
      <c r="J3" s="2" t="n"/>
      <c r="K3" s="2" t="n"/>
      <c r="L3" s="2" t="n"/>
      <c r="M3" s="2" t="n"/>
    </row>
    <row r="6">
      <c r="B6" s="8" t="inlineStr">
        <is>
          <t>Current Score</t>
        </is>
      </c>
      <c r="E6" s="8" t="inlineStr">
        <is>
          <t>Requirements Met</t>
        </is>
      </c>
      <c r="H6" s="8" t="inlineStr">
        <is>
          <t>Requirements Not Met</t>
        </is>
      </c>
      <c r="K6" s="8" t="inlineStr">
        <is>
          <t>Not Assessed</t>
        </is>
      </c>
    </row>
    <row r="7">
      <c r="B7" s="9">
        <f>110-SUM(Assessment!N6:N115)</f>
        <v/>
      </c>
      <c r="E7" s="9">
        <f>COUNTIF(Assessment!I6:I115,"MET")</f>
        <v/>
      </c>
      <c r="H7" s="9">
        <f>COUNTIF(Assessment!I6:I115,"NOT MET")</f>
        <v/>
      </c>
      <c r="K7" s="9">
        <f>COUNTIF(Assessment!I6:I115,"NOT ASSESSED")</f>
        <v/>
      </c>
    </row>
    <row r="8"/>
    <row r="9"/>
    <row r="12">
      <c r="B12" s="8" t="inlineStr">
        <is>
          <t>Assessment Completion</t>
        </is>
      </c>
      <c r="C12" s="10">
        <f>IFERROR((COUNTIF(Assessment!I6:I115,"MET")+COUNTIF(Assessment!I6:I115,"NOT MET")+COUNTIF(Assessment!I6:I115,"NOT APPLICABLE"))/110,0)</f>
        <v/>
      </c>
      <c r="E12" s="8" t="inlineStr">
        <is>
          <t>Evidence Complete</t>
        </is>
      </c>
      <c r="F12" s="11">
        <f>COUNTIF(Assessment!O6:O115,"Complete")</f>
        <v/>
      </c>
      <c r="H12" s="8" t="inlineStr">
        <is>
          <t>Partial Credit Applied</t>
        </is>
      </c>
      <c r="I12" s="11">
        <f>COUNTIF(Assessment!M6:M115,"Yes")</f>
        <v/>
      </c>
      <c r="K12" s="8" t="inlineStr">
        <is>
          <t>POA&amp;M Items</t>
        </is>
      </c>
      <c r="L12" s="11">
        <f>COUNTIF(Assessment!S6:S115,"Yes")</f>
        <v/>
      </c>
    </row>
    <row r="15">
      <c r="B15" s="12" t="inlineStr">
        <is>
          <t>Scoring Status</t>
        </is>
      </c>
      <c r="C15" s="13">
        <f>IF(COUNTIF(Assessment!I6:I115,"NOT ASSESSED")=0,"COMPLETE","PROVISIONAL")</f>
        <v/>
      </c>
      <c r="E15" s="12" t="inlineStr">
        <is>
          <t>Maximum Deduction</t>
        </is>
      </c>
      <c r="F15" s="13">
        <f>SUM(Assessment!L6:L115)</f>
        <v/>
      </c>
      <c r="H15" s="12" t="inlineStr">
        <is>
          <t>Mathematical Minimum</t>
        </is>
      </c>
      <c r="I15" s="13">
        <f>110-F15</f>
        <v/>
      </c>
    </row>
  </sheetData>
  <mergeCells count="10">
    <mergeCell ref="E7:F9"/>
    <mergeCell ref="K7:L9"/>
    <mergeCell ref="B6:C6"/>
    <mergeCell ref="H7:I9"/>
    <mergeCell ref="E6:F6"/>
    <mergeCell ref="H6:I6"/>
    <mergeCell ref="A1:M2"/>
    <mergeCell ref="B7:C9"/>
    <mergeCell ref="A3:M3"/>
    <mergeCell ref="K6:L6"/>
  </mergeCells>
  <pageMargins left="0.25" right="0.25"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V115"/>
  <sheetViews>
    <sheetView showGridLines="0" zoomScale="75" workbookViewId="0">
      <pane ySplit="5" topLeftCell="A6" activePane="bottomLeft" state="frozen"/>
      <selection pane="bottomLeft" activeCell="A1" sqref="A1"/>
    </sheetView>
  </sheetViews>
  <sheetFormatPr baseColWidth="8" defaultRowHeight="15"/>
  <cols>
    <col width="10" customWidth="1" min="1" max="1"/>
    <col width="18" customWidth="1" min="2" max="2"/>
    <col width="34" customWidth="1" min="3" max="3"/>
    <col width="65" customWidth="1" min="4" max="4"/>
    <col width="12" customWidth="1" min="5" max="5"/>
    <col width="12" customWidth="1" min="6" max="6"/>
    <col width="12" customWidth="1" min="7" max="7"/>
    <col width="20" customWidth="1" min="8" max="8"/>
    <col width="18" customWidth="1" min="9" max="9"/>
    <col width="24" customWidth="1" min="10" max="10"/>
    <col width="16" customWidth="1" min="11" max="11"/>
    <col width="14" customWidth="1" min="12" max="12"/>
    <col width="18" customWidth="1" min="13" max="13"/>
    <col width="18" customWidth="1" min="14" max="14"/>
    <col width="18" customWidth="1" min="15" max="15"/>
    <col width="22" customWidth="1" min="16" max="16"/>
    <col width="22" customWidth="1" min="17" max="17"/>
    <col width="45" customWidth="1" min="18" max="18"/>
    <col width="16" customWidth="1" min="19" max="19"/>
    <col width="60" customWidth="1" min="20" max="20"/>
    <col width="28" customWidth="1" min="21" max="21"/>
    <col width="60" customWidth="1" min="22" max="22"/>
  </cols>
  <sheetData>
    <row r="1" ht="26" customHeight="1">
      <c r="A1" s="1" t="inlineStr">
        <is>
          <t>CMMC Level 2 Requirement Assessment</t>
        </is>
      </c>
      <c r="B1" s="2" t="n"/>
      <c r="C1" s="2" t="n"/>
      <c r="D1" s="2" t="n"/>
      <c r="E1" s="2" t="n"/>
      <c r="F1" s="2" t="n"/>
      <c r="G1" s="2" t="n"/>
      <c r="H1" s="2" t="n"/>
      <c r="I1" s="2" t="n"/>
      <c r="J1" s="2" t="n"/>
      <c r="K1" s="2" t="n"/>
      <c r="L1" s="2" t="n"/>
      <c r="M1" s="2" t="n"/>
      <c r="N1" s="2" t="n"/>
      <c r="O1" s="2" t="n"/>
      <c r="P1" s="2" t="n"/>
      <c r="Q1" s="2" t="n"/>
      <c r="R1" s="2" t="n"/>
      <c r="S1" s="2" t="n"/>
      <c r="T1" s="2" t="n"/>
      <c r="U1" s="2" t="n"/>
      <c r="V1" s="2" t="n"/>
    </row>
    <row r="2" ht="14" customHeight="1">
      <c r="A2" s="2" t="n"/>
      <c r="B2" s="2" t="n"/>
      <c r="C2" s="2" t="n"/>
      <c r="D2" s="2" t="n"/>
      <c r="E2" s="2" t="n"/>
      <c r="F2" s="2" t="n"/>
      <c r="G2" s="2" t="n"/>
      <c r="H2" s="2" t="n"/>
      <c r="I2" s="2" t="n"/>
      <c r="J2" s="2" t="n"/>
      <c r="K2" s="2" t="n"/>
      <c r="L2" s="2" t="n"/>
      <c r="M2" s="2" t="n"/>
      <c r="N2" s="2" t="n"/>
      <c r="O2" s="2" t="n"/>
      <c r="P2" s="2" t="n"/>
      <c r="Q2" s="2" t="n"/>
      <c r="R2" s="2" t="n"/>
      <c r="S2" s="2" t="n"/>
      <c r="T2" s="2" t="n"/>
      <c r="U2" s="2" t="n"/>
      <c r="V2" s="2" t="n"/>
    </row>
    <row r="3" ht="22" customHeight="1">
      <c r="A3" s="3" t="inlineStr">
        <is>
          <t>Evaluate implementation, evidence, ownership, SSP mapping, weighted deductions, and POA&amp;M requirements for all 110 controls.</t>
        </is>
      </c>
      <c r="B3" s="2" t="n"/>
      <c r="C3" s="2" t="n"/>
      <c r="D3" s="2" t="n"/>
      <c r="E3" s="2" t="n"/>
      <c r="F3" s="2" t="n"/>
      <c r="G3" s="2" t="n"/>
      <c r="H3" s="2" t="n"/>
      <c r="I3" s="2" t="n"/>
      <c r="J3" s="2" t="n"/>
      <c r="K3" s="2" t="n"/>
      <c r="L3" s="2" t="n"/>
      <c r="M3" s="2" t="n"/>
      <c r="N3" s="2" t="n"/>
      <c r="O3" s="2" t="n"/>
      <c r="P3" s="2" t="n"/>
      <c r="Q3" s="2" t="n"/>
      <c r="R3" s="2" t="n"/>
      <c r="S3" s="2" t="n"/>
      <c r="T3" s="2" t="n"/>
      <c r="U3" s="2" t="n"/>
      <c r="V3" s="2" t="n"/>
    </row>
    <row r="5" ht="32" customHeight="1">
      <c r="A5" s="8" t="inlineStr">
        <is>
          <t>Domain</t>
        </is>
      </c>
      <c r="B5" s="8" t="inlineStr">
        <is>
          <t>Requirement ID</t>
        </is>
      </c>
      <c r="C5" s="8" t="inlineStr">
        <is>
          <t>Title</t>
        </is>
      </c>
      <c r="D5" s="8" t="inlineStr">
        <is>
          <t>Requirement Statement</t>
        </is>
      </c>
      <c r="E5" s="8" t="inlineStr">
        <is>
          <t>Source Start</t>
        </is>
      </c>
      <c r="F5" s="8" t="inlineStr">
        <is>
          <t>Source End</t>
        </is>
      </c>
      <c r="G5" s="8" t="inlineStr">
        <is>
          <t>Applicable</t>
        </is>
      </c>
      <c r="H5" s="8" t="inlineStr">
        <is>
          <t>Scoring Category</t>
        </is>
      </c>
      <c r="I5" s="8" t="inlineStr">
        <is>
          <t>Status</t>
        </is>
      </c>
      <c r="J5" s="8" t="inlineStr">
        <is>
          <t>Implementation State</t>
        </is>
      </c>
      <c r="K5" s="8" t="inlineStr">
        <is>
          <t>Partial Credit Allowed</t>
        </is>
      </c>
      <c r="L5" s="8" t="inlineStr">
        <is>
          <t>Full Deduction</t>
        </is>
      </c>
      <c r="M5" s="8" t="inlineStr">
        <is>
          <t>Partial Credit Applied</t>
        </is>
      </c>
      <c r="N5" s="8" t="inlineStr">
        <is>
          <t>Calculated Deduction</t>
        </is>
      </c>
      <c r="O5" s="8" t="inlineStr">
        <is>
          <t>Evidence Status</t>
        </is>
      </c>
      <c r="P5" s="8" t="inlineStr">
        <is>
          <t>Control Owner</t>
        </is>
      </c>
      <c r="Q5" s="8" t="inlineStr">
        <is>
          <t>SSP Reference</t>
        </is>
      </c>
      <c r="R5" s="8" t="inlineStr">
        <is>
          <t>Assessor Notes</t>
        </is>
      </c>
      <c r="S5" s="8" t="inlineStr">
        <is>
          <t>POA&amp;M Required</t>
        </is>
      </c>
      <c r="T5" s="8" t="inlineStr">
        <is>
          <t>Partial Credit Condition</t>
        </is>
      </c>
      <c r="U5" s="8" t="inlineStr">
        <is>
          <t>Scoring Source</t>
        </is>
      </c>
      <c r="V5" s="8" t="inlineStr">
        <is>
          <t>Score Explanation</t>
        </is>
      </c>
    </row>
    <row r="6">
      <c r="A6" s="14" t="inlineStr">
        <is>
          <t>AC</t>
        </is>
      </c>
      <c r="B6" s="14" t="inlineStr">
        <is>
          <t>AC.L2-3.1.1</t>
        </is>
      </c>
      <c r="C6" s="14" t="inlineStr">
        <is>
          <t>Authorized Access Control [CUI Data]</t>
        </is>
      </c>
      <c r="D6" s="14" t="inlineStr">
        <is>
          <t>Limit system access to authorized users, processes acting on behalf of authorized users, and devices (including other systems).</t>
        </is>
      </c>
      <c r="E6" s="14" t="n">
        <v>22</v>
      </c>
      <c r="F6" s="14" t="n">
        <v>24</v>
      </c>
      <c r="G6" s="15" t="inlineStr">
        <is>
          <t>Yes</t>
        </is>
      </c>
      <c r="H6" s="16" t="inlineStr">
        <is>
          <t>FIVE_POINT</t>
        </is>
      </c>
      <c r="I6" s="15" t="inlineStr">
        <is>
          <t>NOT ASSESSED</t>
        </is>
      </c>
      <c r="J6" s="16" t="inlineStr"/>
      <c r="K6" s="16" t="inlineStr">
        <is>
          <t>No</t>
        </is>
      </c>
      <c r="L6" s="16" t="n">
        <v>5</v>
      </c>
      <c r="M6" s="16">
        <f>IF(AND(K6="Yes",I6="NOT MET",J6="PARTIALLY IMPLEMENTED"),"Yes","No")</f>
        <v/>
      </c>
      <c r="N6" s="16">
        <f>IF(OR(I6="MET",I6="NOT APPLICABLE",I6="NOT ASSESSED"),0,IF(AND(K6="Yes",J6="PARTIALLY IMPLEMENTED"),3,L6))</f>
        <v/>
      </c>
      <c r="O6" s="15" t="inlineStr">
        <is>
          <t>Not Started</t>
        </is>
      </c>
      <c r="P6" s="15" t="inlineStr"/>
      <c r="Q6" s="15" t="inlineStr"/>
      <c r="R6" s="15" t="inlineStr"/>
      <c r="S6" s="16">
        <f>IF(I6="NOT MET","Yes","No")</f>
        <v/>
      </c>
      <c r="T6" s="16" t="inlineStr"/>
      <c r="U6" s="16" t="inlineStr">
        <is>
          <t>32 CFR 170.24(c)(2) | Current eCFR</t>
        </is>
      </c>
      <c r="V6" s="16">
        <f>IF(I6="MET","Requirement assessed MET; no deduction.",IF(I6="NOT APPLICABLE","Requirement assessed NOT APPLICABLE; no deduction.",IF(I6="NOT ASSESSED","Requirement not assessed; score remains provisional.",IF(M6="Yes","Partial-credit condition applied; 3 points deducted.","Requirement assessed NOT MET; "&amp;L6&amp;" points deducted."))))</f>
        <v/>
      </c>
    </row>
    <row r="7">
      <c r="A7" s="14" t="inlineStr">
        <is>
          <t>AC</t>
        </is>
      </c>
      <c r="B7" s="14" t="inlineStr">
        <is>
          <t>AC.L2-3.1.2</t>
        </is>
      </c>
      <c r="C7" s="14" t="inlineStr">
        <is>
          <t>Transaction &amp; Function Control</t>
        </is>
      </c>
      <c r="D7" s="14" t="inlineStr">
        <is>
          <t>Limit system access to the types of transactions and functions that authorized users are permitted to execute.</t>
        </is>
      </c>
      <c r="E7" s="14" t="n">
        <v>25</v>
      </c>
      <c r="F7" s="14" t="n">
        <v>26</v>
      </c>
      <c r="G7" s="15" t="inlineStr">
        <is>
          <t>Yes</t>
        </is>
      </c>
      <c r="H7" s="16" t="inlineStr">
        <is>
          <t>FIVE_POINT</t>
        </is>
      </c>
      <c r="I7" s="15" t="inlineStr">
        <is>
          <t>NOT ASSESSED</t>
        </is>
      </c>
      <c r="J7" s="16" t="inlineStr"/>
      <c r="K7" s="16" t="inlineStr">
        <is>
          <t>No</t>
        </is>
      </c>
      <c r="L7" s="16" t="n">
        <v>5</v>
      </c>
      <c r="M7" s="16">
        <f>IF(AND(K7="Yes",I7="NOT MET",J7="PARTIALLY IMPLEMENTED"),"Yes","No")</f>
        <v/>
      </c>
      <c r="N7" s="16">
        <f>IF(OR(I7="MET",I7="NOT APPLICABLE",I7="NOT ASSESSED"),0,IF(AND(K7="Yes",J7="PARTIALLY IMPLEMENTED"),3,L7))</f>
        <v/>
      </c>
      <c r="O7" s="15" t="inlineStr">
        <is>
          <t>Not Started</t>
        </is>
      </c>
      <c r="P7" s="15" t="inlineStr"/>
      <c r="Q7" s="15" t="inlineStr"/>
      <c r="R7" s="15" t="inlineStr"/>
      <c r="S7" s="16">
        <f>IF(I7="NOT MET","Yes","No")</f>
        <v/>
      </c>
      <c r="T7" s="16" t="inlineStr"/>
      <c r="U7" s="16" t="inlineStr">
        <is>
          <t>32 CFR 170.24(c)(2) | Current eCFR</t>
        </is>
      </c>
      <c r="V7" s="16">
        <f>IF(I7="MET","Requirement assessed MET; no deduction.",IF(I7="NOT APPLICABLE","Requirement assessed NOT APPLICABLE; no deduction.",IF(I7="NOT ASSESSED","Requirement not assessed; score remains provisional.",IF(M7="Yes","Partial-credit condition applied; 3 points deducted.","Requirement assessed NOT MET; "&amp;L7&amp;" points deducted."))))</f>
        <v/>
      </c>
    </row>
    <row r="8">
      <c r="A8" s="14" t="inlineStr">
        <is>
          <t>AC</t>
        </is>
      </c>
      <c r="B8" s="14" t="inlineStr">
        <is>
          <t>AC.L2-3.1.3</t>
        </is>
      </c>
      <c r="C8" s="14" t="inlineStr">
        <is>
          <t>Control CUI Flow</t>
        </is>
      </c>
      <c r="D8" s="14" t="inlineStr">
        <is>
          <t>Control the flow of CUI in accordance with approved authorizations.</t>
        </is>
      </c>
      <c r="E8" s="14" t="n">
        <v>27</v>
      </c>
      <c r="F8" s="14" t="n">
        <v>29</v>
      </c>
      <c r="G8" s="15" t="inlineStr">
        <is>
          <t>Yes</t>
        </is>
      </c>
      <c r="H8" s="16" t="inlineStr">
        <is>
          <t>ONE_POINT</t>
        </is>
      </c>
      <c r="I8" s="15" t="inlineStr">
        <is>
          <t>NOT ASSESSED</t>
        </is>
      </c>
      <c r="J8" s="16" t="inlineStr"/>
      <c r="K8" s="16" t="inlineStr">
        <is>
          <t>No</t>
        </is>
      </c>
      <c r="L8" s="16" t="n">
        <v>1</v>
      </c>
      <c r="M8" s="16">
        <f>IF(AND(K8="Yes",I8="NOT MET",J8="PARTIALLY IMPLEMENTED"),"Yes","No")</f>
        <v/>
      </c>
      <c r="N8" s="16">
        <f>IF(OR(I8="MET",I8="NOT APPLICABLE",I8="NOT ASSESSED"),0,IF(AND(K8="Yes",J8="PARTIALLY IMPLEMENTED"),3,L8))</f>
        <v/>
      </c>
      <c r="O8" s="15" t="inlineStr">
        <is>
          <t>Not Started</t>
        </is>
      </c>
      <c r="P8" s="15" t="inlineStr"/>
      <c r="Q8" s="15" t="inlineStr"/>
      <c r="R8" s="15" t="inlineStr"/>
      <c r="S8" s="16">
        <f>IF(I8="NOT MET","Yes","No")</f>
        <v/>
      </c>
      <c r="T8" s="16" t="inlineStr"/>
      <c r="U8" s="16" t="inlineStr">
        <is>
          <t>32 CFR 170.24(c)(2) | Current eCFR</t>
        </is>
      </c>
      <c r="V8" s="16">
        <f>IF(I8="MET","Requirement assessed MET; no deduction.",IF(I8="NOT APPLICABLE","Requirement assessed NOT APPLICABLE; no deduction.",IF(I8="NOT ASSESSED","Requirement not assessed; score remains provisional.",IF(M8="Yes","Partial-credit condition applied; 3 points deducted.","Requirement assessed NOT MET; "&amp;L8&amp;" points deducted."))))</f>
        <v/>
      </c>
    </row>
    <row r="9">
      <c r="A9" s="14" t="inlineStr">
        <is>
          <t>AC</t>
        </is>
      </c>
      <c r="B9" s="14" t="inlineStr">
        <is>
          <t>AC.L2-3.1.4</t>
        </is>
      </c>
      <c r="C9" s="14" t="inlineStr">
        <is>
          <t>Separation of Duties</t>
        </is>
      </c>
      <c r="D9" s="14" t="inlineStr">
        <is>
          <t>Separate the duties of individuals to reduce the risk of malevolent activity without collusion.</t>
        </is>
      </c>
      <c r="E9" s="14" t="n">
        <v>30</v>
      </c>
      <c r="F9" s="14" t="n">
        <v>31</v>
      </c>
      <c r="G9" s="15" t="inlineStr">
        <is>
          <t>Yes</t>
        </is>
      </c>
      <c r="H9" s="16" t="inlineStr">
        <is>
          <t>ONE_POINT</t>
        </is>
      </c>
      <c r="I9" s="15" t="inlineStr">
        <is>
          <t>NOT ASSESSED</t>
        </is>
      </c>
      <c r="J9" s="16" t="inlineStr"/>
      <c r="K9" s="16" t="inlineStr">
        <is>
          <t>No</t>
        </is>
      </c>
      <c r="L9" s="16" t="n">
        <v>1</v>
      </c>
      <c r="M9" s="16">
        <f>IF(AND(K9="Yes",I9="NOT MET",J9="PARTIALLY IMPLEMENTED"),"Yes","No")</f>
        <v/>
      </c>
      <c r="N9" s="16">
        <f>IF(OR(I9="MET",I9="NOT APPLICABLE",I9="NOT ASSESSED"),0,IF(AND(K9="Yes",J9="PARTIALLY IMPLEMENTED"),3,L9))</f>
        <v/>
      </c>
      <c r="O9" s="15" t="inlineStr">
        <is>
          <t>Not Started</t>
        </is>
      </c>
      <c r="P9" s="15" t="inlineStr"/>
      <c r="Q9" s="15" t="inlineStr"/>
      <c r="R9" s="15" t="inlineStr"/>
      <c r="S9" s="16">
        <f>IF(I9="NOT MET","Yes","No")</f>
        <v/>
      </c>
      <c r="T9" s="16" t="inlineStr"/>
      <c r="U9" s="16" t="inlineStr">
        <is>
          <t>32 CFR 170.24(c)(2) | Current eCFR</t>
        </is>
      </c>
      <c r="V9" s="16">
        <f>IF(I9="MET","Requirement assessed MET; no deduction.",IF(I9="NOT APPLICABLE","Requirement assessed NOT APPLICABLE; no deduction.",IF(I9="NOT ASSESSED","Requirement not assessed; score remains provisional.",IF(M9="Yes","Partial-credit condition applied; 3 points deducted.","Requirement assessed NOT MET; "&amp;L9&amp;" points deducted."))))</f>
        <v/>
      </c>
    </row>
    <row r="10">
      <c r="A10" s="14" t="inlineStr">
        <is>
          <t>AC</t>
        </is>
      </c>
      <c r="B10" s="14" t="inlineStr">
        <is>
          <t>AC.L2-3.1.5</t>
        </is>
      </c>
      <c r="C10" s="14" t="inlineStr">
        <is>
          <t>Least Privilege</t>
        </is>
      </c>
      <c r="D10" s="14" t="inlineStr">
        <is>
          <t>Employ the principle of least privilege, including for specific security functions and privileged accounts.</t>
        </is>
      </c>
      <c r="E10" s="14" t="n">
        <v>32</v>
      </c>
      <c r="F10" s="14" t="n">
        <v>34</v>
      </c>
      <c r="G10" s="15" t="inlineStr">
        <is>
          <t>Yes</t>
        </is>
      </c>
      <c r="H10" s="16" t="inlineStr">
        <is>
          <t>THREE_POINT</t>
        </is>
      </c>
      <c r="I10" s="15" t="inlineStr">
        <is>
          <t>NOT ASSESSED</t>
        </is>
      </c>
      <c r="J10" s="16" t="inlineStr"/>
      <c r="K10" s="16" t="inlineStr">
        <is>
          <t>No</t>
        </is>
      </c>
      <c r="L10" s="16" t="n">
        <v>3</v>
      </c>
      <c r="M10" s="16">
        <f>IF(AND(K10="Yes",I10="NOT MET",J10="PARTIALLY IMPLEMENTED"),"Yes","No")</f>
        <v/>
      </c>
      <c r="N10" s="16">
        <f>IF(OR(I10="MET",I10="NOT APPLICABLE",I10="NOT ASSESSED"),0,IF(AND(K10="Yes",J10="PARTIALLY IMPLEMENTED"),3,L10))</f>
        <v/>
      </c>
      <c r="O10" s="15" t="inlineStr">
        <is>
          <t>Not Started</t>
        </is>
      </c>
      <c r="P10" s="15" t="inlineStr"/>
      <c r="Q10" s="15" t="inlineStr"/>
      <c r="R10" s="15" t="inlineStr"/>
      <c r="S10" s="16">
        <f>IF(I10="NOT MET","Yes","No")</f>
        <v/>
      </c>
      <c r="T10" s="16" t="inlineStr"/>
      <c r="U10" s="16" t="inlineStr">
        <is>
          <t>32 CFR 170.24(c)(2) | Current eCFR</t>
        </is>
      </c>
      <c r="V10" s="16">
        <f>IF(I10="MET","Requirement assessed MET; no deduction.",IF(I10="NOT APPLICABLE","Requirement assessed NOT APPLICABLE; no deduction.",IF(I10="NOT ASSESSED","Requirement not assessed; score remains provisional.",IF(M10="Yes","Partial-credit condition applied; 3 points deducted.","Requirement assessed NOT MET; "&amp;L10&amp;" points deducted."))))</f>
        <v/>
      </c>
    </row>
    <row r="11">
      <c r="A11" s="14" t="inlineStr">
        <is>
          <t>AC</t>
        </is>
      </c>
      <c r="B11" s="14" t="inlineStr">
        <is>
          <t>AC.L2-3.1.6</t>
        </is>
      </c>
      <c r="C11" s="14" t="inlineStr">
        <is>
          <t>Non-Privileged Account Use</t>
        </is>
      </c>
      <c r="D11" s="14" t="inlineStr">
        <is>
          <t>Use non-privileged accounts or roles when accessing nonsecurity functions.</t>
        </is>
      </c>
      <c r="E11" s="14" t="n">
        <v>35</v>
      </c>
      <c r="F11" s="14" t="n">
        <v>36</v>
      </c>
      <c r="G11" s="15" t="inlineStr">
        <is>
          <t>Yes</t>
        </is>
      </c>
      <c r="H11" s="16" t="inlineStr">
        <is>
          <t>ONE_POINT</t>
        </is>
      </c>
      <c r="I11" s="15" t="inlineStr">
        <is>
          <t>NOT ASSESSED</t>
        </is>
      </c>
      <c r="J11" s="16" t="inlineStr"/>
      <c r="K11" s="16" t="inlineStr">
        <is>
          <t>No</t>
        </is>
      </c>
      <c r="L11" s="16" t="n">
        <v>1</v>
      </c>
      <c r="M11" s="16">
        <f>IF(AND(K11="Yes",I11="NOT MET",J11="PARTIALLY IMPLEMENTED"),"Yes","No")</f>
        <v/>
      </c>
      <c r="N11" s="16">
        <f>IF(OR(I11="MET",I11="NOT APPLICABLE",I11="NOT ASSESSED"),0,IF(AND(K11="Yes",J11="PARTIALLY IMPLEMENTED"),3,L11))</f>
        <v/>
      </c>
      <c r="O11" s="15" t="inlineStr">
        <is>
          <t>Not Started</t>
        </is>
      </c>
      <c r="P11" s="15" t="inlineStr"/>
      <c r="Q11" s="15" t="inlineStr"/>
      <c r="R11" s="15" t="inlineStr"/>
      <c r="S11" s="16">
        <f>IF(I11="NOT MET","Yes","No")</f>
        <v/>
      </c>
      <c r="T11" s="16" t="inlineStr"/>
      <c r="U11" s="16" t="inlineStr">
        <is>
          <t>32 CFR 170.24(c)(2) | Current eCFR</t>
        </is>
      </c>
      <c r="V11" s="16">
        <f>IF(I11="MET","Requirement assessed MET; no deduction.",IF(I11="NOT APPLICABLE","Requirement assessed NOT APPLICABLE; no deduction.",IF(I11="NOT ASSESSED","Requirement not assessed; score remains provisional.",IF(M11="Yes","Partial-credit condition applied; 3 points deducted.","Requirement assessed NOT MET; "&amp;L11&amp;" points deducted."))))</f>
        <v/>
      </c>
    </row>
    <row r="12">
      <c r="A12" s="14" t="inlineStr">
        <is>
          <t>AC</t>
        </is>
      </c>
      <c r="B12" s="14" t="inlineStr">
        <is>
          <t>AC.L2-3.1.7</t>
        </is>
      </c>
      <c r="C12" s="14" t="inlineStr">
        <is>
          <t>Privileged Functions</t>
        </is>
      </c>
      <c r="D12" s="14" t="inlineStr">
        <is>
          <t>Prevent non-privileged users from executing privileged functions and capture the execution of such functions in audit logs.</t>
        </is>
      </c>
      <c r="E12" s="14" t="n">
        <v>37</v>
      </c>
      <c r="F12" s="14" t="n">
        <v>39</v>
      </c>
      <c r="G12" s="15" t="inlineStr">
        <is>
          <t>Yes</t>
        </is>
      </c>
      <c r="H12" s="16" t="inlineStr">
        <is>
          <t>ONE_POINT</t>
        </is>
      </c>
      <c r="I12" s="15" t="inlineStr">
        <is>
          <t>NOT ASSESSED</t>
        </is>
      </c>
      <c r="J12" s="16" t="inlineStr"/>
      <c r="K12" s="16" t="inlineStr">
        <is>
          <t>No</t>
        </is>
      </c>
      <c r="L12" s="16" t="n">
        <v>1</v>
      </c>
      <c r="M12" s="16">
        <f>IF(AND(K12="Yes",I12="NOT MET",J12="PARTIALLY IMPLEMENTED"),"Yes","No")</f>
        <v/>
      </c>
      <c r="N12" s="16">
        <f>IF(OR(I12="MET",I12="NOT APPLICABLE",I12="NOT ASSESSED"),0,IF(AND(K12="Yes",J12="PARTIALLY IMPLEMENTED"),3,L12))</f>
        <v/>
      </c>
      <c r="O12" s="15" t="inlineStr">
        <is>
          <t>Not Started</t>
        </is>
      </c>
      <c r="P12" s="15" t="inlineStr"/>
      <c r="Q12" s="15" t="inlineStr"/>
      <c r="R12" s="15" t="inlineStr"/>
      <c r="S12" s="16">
        <f>IF(I12="NOT MET","Yes","No")</f>
        <v/>
      </c>
      <c r="T12" s="16" t="inlineStr"/>
      <c r="U12" s="16" t="inlineStr">
        <is>
          <t>32 CFR 170.24(c)(2) | Current eCFR</t>
        </is>
      </c>
      <c r="V12" s="16">
        <f>IF(I12="MET","Requirement assessed MET; no deduction.",IF(I12="NOT APPLICABLE","Requirement assessed NOT APPLICABLE; no deduction.",IF(I12="NOT ASSESSED","Requirement not assessed; score remains provisional.",IF(M12="Yes","Partial-credit condition applied; 3 points deducted.","Requirement assessed NOT MET; "&amp;L12&amp;" points deducted."))))</f>
        <v/>
      </c>
    </row>
    <row r="13">
      <c r="A13" s="14" t="inlineStr">
        <is>
          <t>AC</t>
        </is>
      </c>
      <c r="B13" s="14" t="inlineStr">
        <is>
          <t>AC.L2-3.1.8</t>
        </is>
      </c>
      <c r="C13" s="14" t="inlineStr">
        <is>
          <t>Unsuccessful Logon Attempts</t>
        </is>
      </c>
      <c r="D13" s="14" t="inlineStr">
        <is>
          <t>Limit unsuccessful logon attempts.</t>
        </is>
      </c>
      <c r="E13" s="14" t="n">
        <v>40</v>
      </c>
      <c r="F13" s="14" t="n">
        <v>41</v>
      </c>
      <c r="G13" s="15" t="inlineStr">
        <is>
          <t>Yes</t>
        </is>
      </c>
      <c r="H13" s="16" t="inlineStr">
        <is>
          <t>ONE_POINT</t>
        </is>
      </c>
      <c r="I13" s="15" t="inlineStr">
        <is>
          <t>NOT ASSESSED</t>
        </is>
      </c>
      <c r="J13" s="16" t="inlineStr"/>
      <c r="K13" s="16" t="inlineStr">
        <is>
          <t>No</t>
        </is>
      </c>
      <c r="L13" s="16" t="n">
        <v>1</v>
      </c>
      <c r="M13" s="16">
        <f>IF(AND(K13="Yes",I13="NOT MET",J13="PARTIALLY IMPLEMENTED"),"Yes","No")</f>
        <v/>
      </c>
      <c r="N13" s="16">
        <f>IF(OR(I13="MET",I13="NOT APPLICABLE",I13="NOT ASSESSED"),0,IF(AND(K13="Yes",J13="PARTIALLY IMPLEMENTED"),3,L13))</f>
        <v/>
      </c>
      <c r="O13" s="15" t="inlineStr">
        <is>
          <t>Not Started</t>
        </is>
      </c>
      <c r="P13" s="15" t="inlineStr"/>
      <c r="Q13" s="15" t="inlineStr"/>
      <c r="R13" s="15" t="inlineStr"/>
      <c r="S13" s="16">
        <f>IF(I13="NOT MET","Yes","No")</f>
        <v/>
      </c>
      <c r="T13" s="16" t="inlineStr"/>
      <c r="U13" s="16" t="inlineStr">
        <is>
          <t>32 CFR 170.24(c)(2) | Current eCFR</t>
        </is>
      </c>
      <c r="V13" s="16">
        <f>IF(I13="MET","Requirement assessed MET; no deduction.",IF(I13="NOT APPLICABLE","Requirement assessed NOT APPLICABLE; no deduction.",IF(I13="NOT ASSESSED","Requirement not assessed; score remains provisional.",IF(M13="Yes","Partial-credit condition applied; 3 points deducted.","Requirement assessed NOT MET; "&amp;L13&amp;" points deducted."))))</f>
        <v/>
      </c>
    </row>
    <row r="14">
      <c r="A14" s="14" t="inlineStr">
        <is>
          <t>AC</t>
        </is>
      </c>
      <c r="B14" s="14" t="inlineStr">
        <is>
          <t>AC.L2-3.1.9</t>
        </is>
      </c>
      <c r="C14" s="14" t="inlineStr">
        <is>
          <t>Privacy &amp; Security Notices</t>
        </is>
      </c>
      <c r="D14" s="14" t="inlineStr">
        <is>
          <t>Provide privacy and security notices consistent with applicable CUI rules.</t>
        </is>
      </c>
      <c r="E14" s="14" t="n">
        <v>42</v>
      </c>
      <c r="F14" s="14" t="n">
        <v>43</v>
      </c>
      <c r="G14" s="15" t="inlineStr">
        <is>
          <t>Yes</t>
        </is>
      </c>
      <c r="H14" s="16" t="inlineStr">
        <is>
          <t>ONE_POINT</t>
        </is>
      </c>
      <c r="I14" s="15" t="inlineStr">
        <is>
          <t>NOT ASSESSED</t>
        </is>
      </c>
      <c r="J14" s="16" t="inlineStr"/>
      <c r="K14" s="16" t="inlineStr">
        <is>
          <t>No</t>
        </is>
      </c>
      <c r="L14" s="16" t="n">
        <v>1</v>
      </c>
      <c r="M14" s="16">
        <f>IF(AND(K14="Yes",I14="NOT MET",J14="PARTIALLY IMPLEMENTED"),"Yes","No")</f>
        <v/>
      </c>
      <c r="N14" s="16">
        <f>IF(OR(I14="MET",I14="NOT APPLICABLE",I14="NOT ASSESSED"),0,IF(AND(K14="Yes",J14="PARTIALLY IMPLEMENTED"),3,L14))</f>
        <v/>
      </c>
      <c r="O14" s="15" t="inlineStr">
        <is>
          <t>Not Started</t>
        </is>
      </c>
      <c r="P14" s="15" t="inlineStr"/>
      <c r="Q14" s="15" t="inlineStr"/>
      <c r="R14" s="15" t="inlineStr"/>
      <c r="S14" s="16">
        <f>IF(I14="NOT MET","Yes","No")</f>
        <v/>
      </c>
      <c r="T14" s="16" t="inlineStr"/>
      <c r="U14" s="16" t="inlineStr">
        <is>
          <t>32 CFR 170.24(c)(2) | Current eCFR</t>
        </is>
      </c>
      <c r="V14" s="16">
        <f>IF(I14="MET","Requirement assessed MET; no deduction.",IF(I14="NOT APPLICABLE","Requirement assessed NOT APPLICABLE; no deduction.",IF(I14="NOT ASSESSED","Requirement not assessed; score remains provisional.",IF(M14="Yes","Partial-credit condition applied; 3 points deducted.","Requirement assessed NOT MET; "&amp;L14&amp;" points deducted."))))</f>
        <v/>
      </c>
    </row>
    <row r="15">
      <c r="A15" s="14" t="inlineStr">
        <is>
          <t>AC</t>
        </is>
      </c>
      <c r="B15" s="14" t="inlineStr">
        <is>
          <t>AC.L2-3.1.10</t>
        </is>
      </c>
      <c r="C15" s="14" t="inlineStr">
        <is>
          <t>Session Lock</t>
        </is>
      </c>
      <c r="D15" s="14" t="inlineStr">
        <is>
          <t>Use session lock with pattern- hiding displays to prevent access and viewing of data after a period of inactivity.</t>
        </is>
      </c>
      <c r="E15" s="14" t="n">
        <v>44</v>
      </c>
      <c r="F15" s="14" t="n">
        <v>45</v>
      </c>
      <c r="G15" s="15" t="inlineStr">
        <is>
          <t>Yes</t>
        </is>
      </c>
      <c r="H15" s="16" t="inlineStr">
        <is>
          <t>ONE_POINT</t>
        </is>
      </c>
      <c r="I15" s="15" t="inlineStr">
        <is>
          <t>NOT ASSESSED</t>
        </is>
      </c>
      <c r="J15" s="16" t="inlineStr"/>
      <c r="K15" s="16" t="inlineStr">
        <is>
          <t>No</t>
        </is>
      </c>
      <c r="L15" s="16" t="n">
        <v>1</v>
      </c>
      <c r="M15" s="16">
        <f>IF(AND(K15="Yes",I15="NOT MET",J15="PARTIALLY IMPLEMENTED"),"Yes","No")</f>
        <v/>
      </c>
      <c r="N15" s="16">
        <f>IF(OR(I15="MET",I15="NOT APPLICABLE",I15="NOT ASSESSED"),0,IF(AND(K15="Yes",J15="PARTIALLY IMPLEMENTED"),3,L15))</f>
        <v/>
      </c>
      <c r="O15" s="15" t="inlineStr">
        <is>
          <t>Not Started</t>
        </is>
      </c>
      <c r="P15" s="15" t="inlineStr"/>
      <c r="Q15" s="15" t="inlineStr"/>
      <c r="R15" s="15" t="inlineStr"/>
      <c r="S15" s="16">
        <f>IF(I15="NOT MET","Yes","No")</f>
        <v/>
      </c>
      <c r="T15" s="16" t="inlineStr"/>
      <c r="U15" s="16" t="inlineStr">
        <is>
          <t>32 CFR 170.24(c)(2) | Current eCFR</t>
        </is>
      </c>
      <c r="V15" s="16">
        <f>IF(I15="MET","Requirement assessed MET; no deduction.",IF(I15="NOT APPLICABLE","Requirement assessed NOT APPLICABLE; no deduction.",IF(I15="NOT ASSESSED","Requirement not assessed; score remains provisional.",IF(M15="Yes","Partial-credit condition applied; 3 points deducted.","Requirement assessed NOT MET; "&amp;L15&amp;" points deducted."))))</f>
        <v/>
      </c>
    </row>
    <row r="16">
      <c r="A16" s="14" t="inlineStr">
        <is>
          <t>AC</t>
        </is>
      </c>
      <c r="B16" s="14" t="inlineStr">
        <is>
          <t>AC.L2-3.1.11</t>
        </is>
      </c>
      <c r="C16" s="14" t="inlineStr">
        <is>
          <t>Session Termination</t>
        </is>
      </c>
      <c r="D16" s="14" t="inlineStr">
        <is>
          <t>Terminate (automatically) a user session after a defined condition.</t>
        </is>
      </c>
      <c r="E16" s="14" t="n">
        <v>46</v>
      </c>
      <c r="F16" s="14" t="n">
        <v>47</v>
      </c>
      <c r="G16" s="15" t="inlineStr">
        <is>
          <t>Yes</t>
        </is>
      </c>
      <c r="H16" s="16" t="inlineStr">
        <is>
          <t>ONE_POINT</t>
        </is>
      </c>
      <c r="I16" s="15" t="inlineStr">
        <is>
          <t>NOT ASSESSED</t>
        </is>
      </c>
      <c r="J16" s="16" t="inlineStr"/>
      <c r="K16" s="16" t="inlineStr">
        <is>
          <t>No</t>
        </is>
      </c>
      <c r="L16" s="16" t="n">
        <v>1</v>
      </c>
      <c r="M16" s="16">
        <f>IF(AND(K16="Yes",I16="NOT MET",J16="PARTIALLY IMPLEMENTED"),"Yes","No")</f>
        <v/>
      </c>
      <c r="N16" s="16">
        <f>IF(OR(I16="MET",I16="NOT APPLICABLE",I16="NOT ASSESSED"),0,IF(AND(K16="Yes",J16="PARTIALLY IMPLEMENTED"),3,L16))</f>
        <v/>
      </c>
      <c r="O16" s="15" t="inlineStr">
        <is>
          <t>Not Started</t>
        </is>
      </c>
      <c r="P16" s="15" t="inlineStr"/>
      <c r="Q16" s="15" t="inlineStr"/>
      <c r="R16" s="15" t="inlineStr"/>
      <c r="S16" s="16">
        <f>IF(I16="NOT MET","Yes","No")</f>
        <v/>
      </c>
      <c r="T16" s="16" t="inlineStr"/>
      <c r="U16" s="16" t="inlineStr">
        <is>
          <t>32 CFR 170.24(c)(2) | Current eCFR</t>
        </is>
      </c>
      <c r="V16" s="16">
        <f>IF(I16="MET","Requirement assessed MET; no deduction.",IF(I16="NOT APPLICABLE","Requirement assessed NOT APPLICABLE; no deduction.",IF(I16="NOT ASSESSED","Requirement not assessed; score remains provisional.",IF(M16="Yes","Partial-credit condition applied; 3 points deducted.","Requirement assessed NOT MET; "&amp;L16&amp;" points deducted."))))</f>
        <v/>
      </c>
    </row>
    <row r="17">
      <c r="A17" s="14" t="inlineStr">
        <is>
          <t>AC</t>
        </is>
      </c>
      <c r="B17" s="14" t="inlineStr">
        <is>
          <t>AC.L2-3.1.12</t>
        </is>
      </c>
      <c r="C17" s="14" t="inlineStr">
        <is>
          <t>Control Remote Access</t>
        </is>
      </c>
      <c r="D17" s="14" t="inlineStr">
        <is>
          <t>Monitor and control remote access sessions.</t>
        </is>
      </c>
      <c r="E17" s="14" t="n">
        <v>48</v>
      </c>
      <c r="F17" s="14" t="n">
        <v>50</v>
      </c>
      <c r="G17" s="15" t="inlineStr">
        <is>
          <t>Yes</t>
        </is>
      </c>
      <c r="H17" s="16" t="inlineStr">
        <is>
          <t>FIVE_POINT</t>
        </is>
      </c>
      <c r="I17" s="15" t="inlineStr">
        <is>
          <t>NOT ASSESSED</t>
        </is>
      </c>
      <c r="J17" s="16" t="inlineStr"/>
      <c r="K17" s="16" t="inlineStr">
        <is>
          <t>No</t>
        </is>
      </c>
      <c r="L17" s="16" t="n">
        <v>5</v>
      </c>
      <c r="M17" s="16">
        <f>IF(AND(K17="Yes",I17="NOT MET",J17="PARTIALLY IMPLEMENTED"),"Yes","No")</f>
        <v/>
      </c>
      <c r="N17" s="16">
        <f>IF(OR(I17="MET",I17="NOT APPLICABLE",I17="NOT ASSESSED"),0,IF(AND(K17="Yes",J17="PARTIALLY IMPLEMENTED"),3,L17))</f>
        <v/>
      </c>
      <c r="O17" s="15" t="inlineStr">
        <is>
          <t>Not Started</t>
        </is>
      </c>
      <c r="P17" s="15" t="inlineStr"/>
      <c r="Q17" s="15" t="inlineStr"/>
      <c r="R17" s="15" t="inlineStr"/>
      <c r="S17" s="16">
        <f>IF(I17="NOT MET","Yes","No")</f>
        <v/>
      </c>
      <c r="T17" s="16" t="inlineStr"/>
      <c r="U17" s="16" t="inlineStr">
        <is>
          <t>32 CFR 170.24(c)(2) | Current eCFR</t>
        </is>
      </c>
      <c r="V17" s="16">
        <f>IF(I17="MET","Requirement assessed MET; no deduction.",IF(I17="NOT APPLICABLE","Requirement assessed NOT APPLICABLE; no deduction.",IF(I17="NOT ASSESSED","Requirement not assessed; score remains provisional.",IF(M17="Yes","Partial-credit condition applied; 3 points deducted.","Requirement assessed NOT MET; "&amp;L17&amp;" points deducted."))))</f>
        <v/>
      </c>
    </row>
    <row r="18">
      <c r="A18" s="14" t="inlineStr">
        <is>
          <t>AC</t>
        </is>
      </c>
      <c r="B18" s="14" t="inlineStr">
        <is>
          <t>AC.L2-3.1.13</t>
        </is>
      </c>
      <c r="C18" s="14" t="inlineStr">
        <is>
          <t>Remote Access Confidentiality</t>
        </is>
      </c>
      <c r="D18" s="14" t="inlineStr">
        <is>
          <t>Employ cryptographic mechanisms to protect the confidentiality of remote access sessions.</t>
        </is>
      </c>
      <c r="E18" s="14" t="n">
        <v>51</v>
      </c>
      <c r="F18" s="14" t="n">
        <v>52</v>
      </c>
      <c r="G18" s="15" t="inlineStr">
        <is>
          <t>Yes</t>
        </is>
      </c>
      <c r="H18" s="16" t="inlineStr">
        <is>
          <t>FIVE_POINT</t>
        </is>
      </c>
      <c r="I18" s="15" t="inlineStr">
        <is>
          <t>NOT ASSESSED</t>
        </is>
      </c>
      <c r="J18" s="16" t="inlineStr"/>
      <c r="K18" s="16" t="inlineStr">
        <is>
          <t>No</t>
        </is>
      </c>
      <c r="L18" s="16" t="n">
        <v>5</v>
      </c>
      <c r="M18" s="16">
        <f>IF(AND(K18="Yes",I18="NOT MET",J18="PARTIALLY IMPLEMENTED"),"Yes","No")</f>
        <v/>
      </c>
      <c r="N18" s="16">
        <f>IF(OR(I18="MET",I18="NOT APPLICABLE",I18="NOT ASSESSED"),0,IF(AND(K18="Yes",J18="PARTIALLY IMPLEMENTED"),3,L18))</f>
        <v/>
      </c>
      <c r="O18" s="15" t="inlineStr">
        <is>
          <t>Not Started</t>
        </is>
      </c>
      <c r="P18" s="15" t="inlineStr"/>
      <c r="Q18" s="15" t="inlineStr"/>
      <c r="R18" s="15" t="inlineStr"/>
      <c r="S18" s="16">
        <f>IF(I18="NOT MET","Yes","No")</f>
        <v/>
      </c>
      <c r="T18" s="16" t="inlineStr"/>
      <c r="U18" s="16" t="inlineStr">
        <is>
          <t>32 CFR 170.24(c)(2) | Current eCFR</t>
        </is>
      </c>
      <c r="V18" s="16">
        <f>IF(I18="MET","Requirement assessed MET; no deduction.",IF(I18="NOT APPLICABLE","Requirement assessed NOT APPLICABLE; no deduction.",IF(I18="NOT ASSESSED","Requirement not assessed; score remains provisional.",IF(M18="Yes","Partial-credit condition applied; 3 points deducted.","Requirement assessed NOT MET; "&amp;L18&amp;" points deducted."))))</f>
        <v/>
      </c>
    </row>
    <row r="19">
      <c r="A19" s="14" t="inlineStr">
        <is>
          <t>AC</t>
        </is>
      </c>
      <c r="B19" s="14" t="inlineStr">
        <is>
          <t>AC.L2-3.1.14</t>
        </is>
      </c>
      <c r="C19" s="14" t="inlineStr">
        <is>
          <t>Remote Access Routing</t>
        </is>
      </c>
      <c r="D19" s="14" t="inlineStr">
        <is>
          <t>Route remote access via managed access control points.</t>
        </is>
      </c>
      <c r="E19" s="14" t="n">
        <v>53</v>
      </c>
      <c r="F19" s="14" t="n">
        <v>54</v>
      </c>
      <c r="G19" s="15" t="inlineStr">
        <is>
          <t>Yes</t>
        </is>
      </c>
      <c r="H19" s="16" t="inlineStr">
        <is>
          <t>ONE_POINT</t>
        </is>
      </c>
      <c r="I19" s="15" t="inlineStr">
        <is>
          <t>NOT ASSESSED</t>
        </is>
      </c>
      <c r="J19" s="16" t="inlineStr"/>
      <c r="K19" s="16" t="inlineStr">
        <is>
          <t>No</t>
        </is>
      </c>
      <c r="L19" s="16" t="n">
        <v>1</v>
      </c>
      <c r="M19" s="16">
        <f>IF(AND(K19="Yes",I19="NOT MET",J19="PARTIALLY IMPLEMENTED"),"Yes","No")</f>
        <v/>
      </c>
      <c r="N19" s="16">
        <f>IF(OR(I19="MET",I19="NOT APPLICABLE",I19="NOT ASSESSED"),0,IF(AND(K19="Yes",J19="PARTIALLY IMPLEMENTED"),3,L19))</f>
        <v/>
      </c>
      <c r="O19" s="15" t="inlineStr">
        <is>
          <t>Not Started</t>
        </is>
      </c>
      <c r="P19" s="15" t="inlineStr"/>
      <c r="Q19" s="15" t="inlineStr"/>
      <c r="R19" s="15" t="inlineStr"/>
      <c r="S19" s="16">
        <f>IF(I19="NOT MET","Yes","No")</f>
        <v/>
      </c>
      <c r="T19" s="16" t="inlineStr"/>
      <c r="U19" s="16" t="inlineStr">
        <is>
          <t>32 CFR 170.24(c)(2) | Current eCFR</t>
        </is>
      </c>
      <c r="V19" s="16">
        <f>IF(I19="MET","Requirement assessed MET; no deduction.",IF(I19="NOT APPLICABLE","Requirement assessed NOT APPLICABLE; no deduction.",IF(I19="NOT ASSESSED","Requirement not assessed; score remains provisional.",IF(M19="Yes","Partial-credit condition applied; 3 points deducted.","Requirement assessed NOT MET; "&amp;L19&amp;" points deducted."))))</f>
        <v/>
      </c>
    </row>
    <row r="20">
      <c r="A20" s="14" t="inlineStr">
        <is>
          <t>AC</t>
        </is>
      </c>
      <c r="B20" s="14" t="inlineStr">
        <is>
          <t>AC.L2-3.1.15</t>
        </is>
      </c>
      <c r="C20" s="14" t="inlineStr">
        <is>
          <t>Privileged Remote Access</t>
        </is>
      </c>
      <c r="D20" s="14" t="inlineStr">
        <is>
          <t>Authorize remote execution of privileged commands and remote access to security-relevant information.</t>
        </is>
      </c>
      <c r="E20" s="14" t="n">
        <v>55</v>
      </c>
      <c r="F20" s="14" t="n">
        <v>57</v>
      </c>
      <c r="G20" s="15" t="inlineStr">
        <is>
          <t>Yes</t>
        </is>
      </c>
      <c r="H20" s="16" t="inlineStr">
        <is>
          <t>ONE_POINT</t>
        </is>
      </c>
      <c r="I20" s="15" t="inlineStr">
        <is>
          <t>NOT ASSESSED</t>
        </is>
      </c>
      <c r="J20" s="16" t="inlineStr"/>
      <c r="K20" s="16" t="inlineStr">
        <is>
          <t>No</t>
        </is>
      </c>
      <c r="L20" s="16" t="n">
        <v>1</v>
      </c>
      <c r="M20" s="16">
        <f>IF(AND(K20="Yes",I20="NOT MET",J20="PARTIALLY IMPLEMENTED"),"Yes","No")</f>
        <v/>
      </c>
      <c r="N20" s="16">
        <f>IF(OR(I20="MET",I20="NOT APPLICABLE",I20="NOT ASSESSED"),0,IF(AND(K20="Yes",J20="PARTIALLY IMPLEMENTED"),3,L20))</f>
        <v/>
      </c>
      <c r="O20" s="15" t="inlineStr">
        <is>
          <t>Not Started</t>
        </is>
      </c>
      <c r="P20" s="15" t="inlineStr"/>
      <c r="Q20" s="15" t="inlineStr"/>
      <c r="R20" s="15" t="inlineStr"/>
      <c r="S20" s="16">
        <f>IF(I20="NOT MET","Yes","No")</f>
        <v/>
      </c>
      <c r="T20" s="16" t="inlineStr"/>
      <c r="U20" s="16" t="inlineStr">
        <is>
          <t>32 CFR 170.24(c)(2) | Current eCFR</t>
        </is>
      </c>
      <c r="V20" s="16">
        <f>IF(I20="MET","Requirement assessed MET; no deduction.",IF(I20="NOT APPLICABLE","Requirement assessed NOT APPLICABLE; no deduction.",IF(I20="NOT ASSESSED","Requirement not assessed; score remains provisional.",IF(M20="Yes","Partial-credit condition applied; 3 points deducted.","Requirement assessed NOT MET; "&amp;L20&amp;" points deducted."))))</f>
        <v/>
      </c>
    </row>
    <row r="21">
      <c r="A21" s="14" t="inlineStr">
        <is>
          <t>AC</t>
        </is>
      </c>
      <c r="B21" s="14" t="inlineStr">
        <is>
          <t>AC.L2-3.1.16</t>
        </is>
      </c>
      <c r="C21" s="14" t="inlineStr">
        <is>
          <t>Wireless Access Authorization</t>
        </is>
      </c>
      <c r="D21" s="14" t="inlineStr">
        <is>
          <t>Authorize wireless access prior to allowing such connections.</t>
        </is>
      </c>
      <c r="E21" s="14" t="n">
        <v>58</v>
      </c>
      <c r="F21" s="14" t="n">
        <v>59</v>
      </c>
      <c r="G21" s="15" t="inlineStr">
        <is>
          <t>Yes</t>
        </is>
      </c>
      <c r="H21" s="16" t="inlineStr">
        <is>
          <t>FIVE_POINT</t>
        </is>
      </c>
      <c r="I21" s="15" t="inlineStr">
        <is>
          <t>NOT ASSESSED</t>
        </is>
      </c>
      <c r="J21" s="16" t="inlineStr"/>
      <c r="K21" s="16" t="inlineStr">
        <is>
          <t>No</t>
        </is>
      </c>
      <c r="L21" s="16" t="n">
        <v>5</v>
      </c>
      <c r="M21" s="16">
        <f>IF(AND(K21="Yes",I21="NOT MET",J21="PARTIALLY IMPLEMENTED"),"Yes","No")</f>
        <v/>
      </c>
      <c r="N21" s="16">
        <f>IF(OR(I21="MET",I21="NOT APPLICABLE",I21="NOT ASSESSED"),0,IF(AND(K21="Yes",J21="PARTIALLY IMPLEMENTED"),3,L21))</f>
        <v/>
      </c>
      <c r="O21" s="15" t="inlineStr">
        <is>
          <t>Not Started</t>
        </is>
      </c>
      <c r="P21" s="15" t="inlineStr"/>
      <c r="Q21" s="15" t="inlineStr"/>
      <c r="R21" s="15" t="inlineStr"/>
      <c r="S21" s="16">
        <f>IF(I21="NOT MET","Yes","No")</f>
        <v/>
      </c>
      <c r="T21" s="16" t="inlineStr"/>
      <c r="U21" s="16" t="inlineStr">
        <is>
          <t>32 CFR 170.24(c)(2) | Current eCFR</t>
        </is>
      </c>
      <c r="V21" s="16">
        <f>IF(I21="MET","Requirement assessed MET; no deduction.",IF(I21="NOT APPLICABLE","Requirement assessed NOT APPLICABLE; no deduction.",IF(I21="NOT ASSESSED","Requirement not assessed; score remains provisional.",IF(M21="Yes","Partial-credit condition applied; 3 points deducted.","Requirement assessed NOT MET; "&amp;L21&amp;" points deducted."))))</f>
        <v/>
      </c>
    </row>
    <row r="22">
      <c r="A22" s="14" t="inlineStr">
        <is>
          <t>AC</t>
        </is>
      </c>
      <c r="B22" s="14" t="inlineStr">
        <is>
          <t>AC.L2-3.1.17</t>
        </is>
      </c>
      <c r="C22" s="14" t="inlineStr">
        <is>
          <t>Wireless Access Protection</t>
        </is>
      </c>
      <c r="D22" s="14" t="inlineStr">
        <is>
          <t>Protect wireless access using authentication and encryption.</t>
        </is>
      </c>
      <c r="E22" s="14" t="n">
        <v>60</v>
      </c>
      <c r="F22" s="14" t="n">
        <v>61</v>
      </c>
      <c r="G22" s="15" t="inlineStr">
        <is>
          <t>Yes</t>
        </is>
      </c>
      <c r="H22" s="16" t="inlineStr">
        <is>
          <t>FIVE_POINT</t>
        </is>
      </c>
      <c r="I22" s="15" t="inlineStr">
        <is>
          <t>NOT ASSESSED</t>
        </is>
      </c>
      <c r="J22" s="16" t="inlineStr"/>
      <c r="K22" s="16" t="inlineStr">
        <is>
          <t>No</t>
        </is>
      </c>
      <c r="L22" s="16" t="n">
        <v>5</v>
      </c>
      <c r="M22" s="16">
        <f>IF(AND(K22="Yes",I22="NOT MET",J22="PARTIALLY IMPLEMENTED"),"Yes","No")</f>
        <v/>
      </c>
      <c r="N22" s="16">
        <f>IF(OR(I22="MET",I22="NOT APPLICABLE",I22="NOT ASSESSED"),0,IF(AND(K22="Yes",J22="PARTIALLY IMPLEMENTED"),3,L22))</f>
        <v/>
      </c>
      <c r="O22" s="15" t="inlineStr">
        <is>
          <t>Not Started</t>
        </is>
      </c>
      <c r="P22" s="15" t="inlineStr"/>
      <c r="Q22" s="15" t="inlineStr"/>
      <c r="R22" s="15" t="inlineStr"/>
      <c r="S22" s="16">
        <f>IF(I22="NOT MET","Yes","No")</f>
        <v/>
      </c>
      <c r="T22" s="16" t="inlineStr"/>
      <c r="U22" s="16" t="inlineStr">
        <is>
          <t>32 CFR 170.24(c)(2) | Current eCFR</t>
        </is>
      </c>
      <c r="V22" s="16">
        <f>IF(I22="MET","Requirement assessed MET; no deduction.",IF(I22="NOT APPLICABLE","Requirement assessed NOT APPLICABLE; no deduction.",IF(I22="NOT ASSESSED","Requirement not assessed; score remains provisional.",IF(M22="Yes","Partial-credit condition applied; 3 points deducted.","Requirement assessed NOT MET; "&amp;L22&amp;" points deducted."))))</f>
        <v/>
      </c>
    </row>
    <row r="23">
      <c r="A23" s="14" t="inlineStr">
        <is>
          <t>AC</t>
        </is>
      </c>
      <c r="B23" s="14" t="inlineStr">
        <is>
          <t>AC.L2-3.1.18</t>
        </is>
      </c>
      <c r="C23" s="14" t="inlineStr">
        <is>
          <t>Mobile Device Connection</t>
        </is>
      </c>
      <c r="D23" s="14" t="inlineStr">
        <is>
          <t>Control connection of mobile devices.</t>
        </is>
      </c>
      <c r="E23" s="14" t="n">
        <v>62</v>
      </c>
      <c r="F23" s="14" t="n">
        <v>63</v>
      </c>
      <c r="G23" s="15" t="inlineStr">
        <is>
          <t>Yes</t>
        </is>
      </c>
      <c r="H23" s="16" t="inlineStr">
        <is>
          <t>FIVE_POINT</t>
        </is>
      </c>
      <c r="I23" s="15" t="inlineStr">
        <is>
          <t>NOT ASSESSED</t>
        </is>
      </c>
      <c r="J23" s="16" t="inlineStr"/>
      <c r="K23" s="16" t="inlineStr">
        <is>
          <t>No</t>
        </is>
      </c>
      <c r="L23" s="16" t="n">
        <v>5</v>
      </c>
      <c r="M23" s="16">
        <f>IF(AND(K23="Yes",I23="NOT MET",J23="PARTIALLY IMPLEMENTED"),"Yes","No")</f>
        <v/>
      </c>
      <c r="N23" s="16">
        <f>IF(OR(I23="MET",I23="NOT APPLICABLE",I23="NOT ASSESSED"),0,IF(AND(K23="Yes",J23="PARTIALLY IMPLEMENTED"),3,L23))</f>
        <v/>
      </c>
      <c r="O23" s="15" t="inlineStr">
        <is>
          <t>Not Started</t>
        </is>
      </c>
      <c r="P23" s="15" t="inlineStr"/>
      <c r="Q23" s="15" t="inlineStr"/>
      <c r="R23" s="15" t="inlineStr"/>
      <c r="S23" s="16">
        <f>IF(I23="NOT MET","Yes","No")</f>
        <v/>
      </c>
      <c r="T23" s="16" t="inlineStr"/>
      <c r="U23" s="16" t="inlineStr">
        <is>
          <t>32 CFR 170.24(c)(2) | Current eCFR</t>
        </is>
      </c>
      <c r="V23" s="16">
        <f>IF(I23="MET","Requirement assessed MET; no deduction.",IF(I23="NOT APPLICABLE","Requirement assessed NOT APPLICABLE; no deduction.",IF(I23="NOT ASSESSED","Requirement not assessed; score remains provisional.",IF(M23="Yes","Partial-credit condition applied; 3 points deducted.","Requirement assessed NOT MET; "&amp;L23&amp;" points deducted."))))</f>
        <v/>
      </c>
    </row>
    <row r="24">
      <c r="A24" s="14" t="inlineStr">
        <is>
          <t>AC</t>
        </is>
      </c>
      <c r="B24" s="14" t="inlineStr">
        <is>
          <t>AC.L2-3.1.19</t>
        </is>
      </c>
      <c r="C24" s="14" t="inlineStr">
        <is>
          <t>Encrypt CUI on Mobile</t>
        </is>
      </c>
      <c r="D24" s="14" t="inlineStr">
        <is>
          <t>Encrypt CUI on mobile devices and mobile computing platforms.</t>
        </is>
      </c>
      <c r="E24" s="14" t="n">
        <v>64</v>
      </c>
      <c r="F24" s="14" t="n">
        <v>65</v>
      </c>
      <c r="G24" s="15" t="inlineStr">
        <is>
          <t>Yes</t>
        </is>
      </c>
      <c r="H24" s="16" t="inlineStr">
        <is>
          <t>THREE_POINT</t>
        </is>
      </c>
      <c r="I24" s="15" t="inlineStr">
        <is>
          <t>NOT ASSESSED</t>
        </is>
      </c>
      <c r="J24" s="16" t="inlineStr"/>
      <c r="K24" s="16" t="inlineStr">
        <is>
          <t>No</t>
        </is>
      </c>
      <c r="L24" s="16" t="n">
        <v>3</v>
      </c>
      <c r="M24" s="16">
        <f>IF(AND(K24="Yes",I24="NOT MET",J24="PARTIALLY IMPLEMENTED"),"Yes","No")</f>
        <v/>
      </c>
      <c r="N24" s="16">
        <f>IF(OR(I24="MET",I24="NOT APPLICABLE",I24="NOT ASSESSED"),0,IF(AND(K24="Yes",J24="PARTIALLY IMPLEMENTED"),3,L24))</f>
        <v/>
      </c>
      <c r="O24" s="15" t="inlineStr">
        <is>
          <t>Not Started</t>
        </is>
      </c>
      <c r="P24" s="15" t="inlineStr"/>
      <c r="Q24" s="15" t="inlineStr"/>
      <c r="R24" s="15" t="inlineStr"/>
      <c r="S24" s="16">
        <f>IF(I24="NOT MET","Yes","No")</f>
        <v/>
      </c>
      <c r="T24" s="16" t="inlineStr"/>
      <c r="U24" s="16" t="inlineStr">
        <is>
          <t>32 CFR 170.24(c)(2) | Current eCFR</t>
        </is>
      </c>
      <c r="V24" s="16">
        <f>IF(I24="MET","Requirement assessed MET; no deduction.",IF(I24="NOT APPLICABLE","Requirement assessed NOT APPLICABLE; no deduction.",IF(I24="NOT ASSESSED","Requirement not assessed; score remains provisional.",IF(M24="Yes","Partial-credit condition applied; 3 points deducted.","Requirement assessed NOT MET; "&amp;L24&amp;" points deducted."))))</f>
        <v/>
      </c>
    </row>
    <row r="25">
      <c r="A25" s="14" t="inlineStr">
        <is>
          <t>AC</t>
        </is>
      </c>
      <c r="B25" s="14" t="inlineStr">
        <is>
          <t>AC.L2-3.1.20</t>
        </is>
      </c>
      <c r="C25" s="14" t="inlineStr">
        <is>
          <t>External Connections [CUI Data]</t>
        </is>
      </c>
      <c r="D25" s="14" t="inlineStr">
        <is>
          <t>Verify and control/limit connections to and use of external systems.</t>
        </is>
      </c>
      <c r="E25" s="14" t="n">
        <v>66</v>
      </c>
      <c r="F25" s="14" t="n">
        <v>68</v>
      </c>
      <c r="G25" s="15" t="inlineStr">
        <is>
          <t>Yes</t>
        </is>
      </c>
      <c r="H25" s="16" t="inlineStr">
        <is>
          <t>ONE_POINT</t>
        </is>
      </c>
      <c r="I25" s="15" t="inlineStr">
        <is>
          <t>NOT ASSESSED</t>
        </is>
      </c>
      <c r="J25" s="16" t="inlineStr"/>
      <c r="K25" s="16" t="inlineStr">
        <is>
          <t>No</t>
        </is>
      </c>
      <c r="L25" s="16" t="n">
        <v>1</v>
      </c>
      <c r="M25" s="16">
        <f>IF(AND(K25="Yes",I25="NOT MET",J25="PARTIALLY IMPLEMENTED"),"Yes","No")</f>
        <v/>
      </c>
      <c r="N25" s="16">
        <f>IF(OR(I25="MET",I25="NOT APPLICABLE",I25="NOT ASSESSED"),0,IF(AND(K25="Yes",J25="PARTIALLY IMPLEMENTED"),3,L25))</f>
        <v/>
      </c>
      <c r="O25" s="15" t="inlineStr">
        <is>
          <t>Not Started</t>
        </is>
      </c>
      <c r="P25" s="15" t="inlineStr"/>
      <c r="Q25" s="15" t="inlineStr"/>
      <c r="R25" s="15" t="inlineStr"/>
      <c r="S25" s="16">
        <f>IF(I25="NOT MET","Yes","No")</f>
        <v/>
      </c>
      <c r="T25" s="16" t="inlineStr"/>
      <c r="U25" s="16" t="inlineStr">
        <is>
          <t>32 CFR 170.24(c)(2) | Current eCFR</t>
        </is>
      </c>
      <c r="V25" s="16">
        <f>IF(I25="MET","Requirement assessed MET; no deduction.",IF(I25="NOT APPLICABLE","Requirement assessed NOT APPLICABLE; no deduction.",IF(I25="NOT ASSESSED","Requirement not assessed; score remains provisional.",IF(M25="Yes","Partial-credit condition applied; 3 points deducted.","Requirement assessed NOT MET; "&amp;L25&amp;" points deducted."))))</f>
        <v/>
      </c>
    </row>
    <row r="26">
      <c r="A26" s="14" t="inlineStr">
        <is>
          <t>AC</t>
        </is>
      </c>
      <c r="B26" s="14" t="inlineStr">
        <is>
          <t>AC.L2-3.1.21</t>
        </is>
      </c>
      <c r="C26" s="14" t="inlineStr">
        <is>
          <t>Portable Storage Use</t>
        </is>
      </c>
      <c r="D26" s="14" t="inlineStr">
        <is>
          <t>Limit use of portable storage devices on external systems.</t>
        </is>
      </c>
      <c r="E26" s="14" t="n">
        <v>69</v>
      </c>
      <c r="F26" s="14" t="n">
        <v>70</v>
      </c>
      <c r="G26" s="15" t="inlineStr">
        <is>
          <t>Yes</t>
        </is>
      </c>
      <c r="H26" s="16" t="inlineStr">
        <is>
          <t>ONE_POINT</t>
        </is>
      </c>
      <c r="I26" s="15" t="inlineStr">
        <is>
          <t>NOT ASSESSED</t>
        </is>
      </c>
      <c r="J26" s="16" t="inlineStr"/>
      <c r="K26" s="16" t="inlineStr">
        <is>
          <t>No</t>
        </is>
      </c>
      <c r="L26" s="16" t="n">
        <v>1</v>
      </c>
      <c r="M26" s="16">
        <f>IF(AND(K26="Yes",I26="NOT MET",J26="PARTIALLY IMPLEMENTED"),"Yes","No")</f>
        <v/>
      </c>
      <c r="N26" s="16">
        <f>IF(OR(I26="MET",I26="NOT APPLICABLE",I26="NOT ASSESSED"),0,IF(AND(K26="Yes",J26="PARTIALLY IMPLEMENTED"),3,L26))</f>
        <v/>
      </c>
      <c r="O26" s="15" t="inlineStr">
        <is>
          <t>Not Started</t>
        </is>
      </c>
      <c r="P26" s="15" t="inlineStr"/>
      <c r="Q26" s="15" t="inlineStr"/>
      <c r="R26" s="15" t="inlineStr"/>
      <c r="S26" s="16">
        <f>IF(I26="NOT MET","Yes","No")</f>
        <v/>
      </c>
      <c r="T26" s="16" t="inlineStr"/>
      <c r="U26" s="16" t="inlineStr">
        <is>
          <t>32 CFR 170.24(c)(2) | Current eCFR</t>
        </is>
      </c>
      <c r="V26" s="16">
        <f>IF(I26="MET","Requirement assessed MET; no deduction.",IF(I26="NOT APPLICABLE","Requirement assessed NOT APPLICABLE; no deduction.",IF(I26="NOT ASSESSED","Requirement not assessed; score remains provisional.",IF(M26="Yes","Partial-credit condition applied; 3 points deducted.","Requirement assessed NOT MET; "&amp;L26&amp;" points deducted."))))</f>
        <v/>
      </c>
    </row>
    <row r="27">
      <c r="A27" s="14" t="inlineStr">
        <is>
          <t>AC</t>
        </is>
      </c>
      <c r="B27" s="14" t="inlineStr">
        <is>
          <t>AC.L2-3.1.22</t>
        </is>
      </c>
      <c r="C27" s="14" t="inlineStr">
        <is>
          <t>Control Public Information [CUI Data]</t>
        </is>
      </c>
      <c r="D27" s="14" t="inlineStr">
        <is>
          <t>Control CUI posted or processed on publicly accessible systems.</t>
        </is>
      </c>
      <c r="E27" s="14" t="n">
        <v>71</v>
      </c>
      <c r="F27" s="14" t="n">
        <v>72</v>
      </c>
      <c r="G27" s="15" t="inlineStr">
        <is>
          <t>Yes</t>
        </is>
      </c>
      <c r="H27" s="16" t="inlineStr">
        <is>
          <t>ONE_POINT</t>
        </is>
      </c>
      <c r="I27" s="15" t="inlineStr">
        <is>
          <t>NOT ASSESSED</t>
        </is>
      </c>
      <c r="J27" s="16" t="inlineStr"/>
      <c r="K27" s="16" t="inlineStr">
        <is>
          <t>No</t>
        </is>
      </c>
      <c r="L27" s="16" t="n">
        <v>1</v>
      </c>
      <c r="M27" s="16">
        <f>IF(AND(K27="Yes",I27="NOT MET",J27="PARTIALLY IMPLEMENTED"),"Yes","No")</f>
        <v/>
      </c>
      <c r="N27" s="16">
        <f>IF(OR(I27="MET",I27="NOT APPLICABLE",I27="NOT ASSESSED"),0,IF(AND(K27="Yes",J27="PARTIALLY IMPLEMENTED"),3,L27))</f>
        <v/>
      </c>
      <c r="O27" s="15" t="inlineStr">
        <is>
          <t>Not Started</t>
        </is>
      </c>
      <c r="P27" s="15" t="inlineStr"/>
      <c r="Q27" s="15" t="inlineStr"/>
      <c r="R27" s="15" t="inlineStr"/>
      <c r="S27" s="16">
        <f>IF(I27="NOT MET","Yes","No")</f>
        <v/>
      </c>
      <c r="T27" s="16" t="inlineStr"/>
      <c r="U27" s="16" t="inlineStr">
        <is>
          <t>32 CFR 170.24(c)(2) | Current eCFR</t>
        </is>
      </c>
      <c r="V27" s="16">
        <f>IF(I27="MET","Requirement assessed MET; no deduction.",IF(I27="NOT APPLICABLE","Requirement assessed NOT APPLICABLE; no deduction.",IF(I27="NOT ASSESSED","Requirement not assessed; score remains provisional.",IF(M27="Yes","Partial-credit condition applied; 3 points deducted.","Requirement assessed NOT MET; "&amp;L27&amp;" points deducted."))))</f>
        <v/>
      </c>
    </row>
    <row r="28">
      <c r="A28" s="14" t="inlineStr">
        <is>
          <t>AT</t>
        </is>
      </c>
      <c r="B28" s="14" t="inlineStr">
        <is>
          <t>AT.L2-3.2.1</t>
        </is>
      </c>
      <c r="C28" s="14" t="inlineStr">
        <is>
          <t>Role-Based Risk Awareness</t>
        </is>
      </c>
      <c r="D28" s="14" t="inlineStr">
        <is>
          <t>Ensure that managers, system s administrators, and users of organizational systems are made aware of the security risks associated with their activities and of the applicable policies, standards, and procedures related to the security of those systems.</t>
        </is>
      </c>
      <c r="E28" s="14" t="n">
        <v>73</v>
      </c>
      <c r="F28" s="14" t="n">
        <v>75</v>
      </c>
      <c r="G28" s="15" t="inlineStr">
        <is>
          <t>Yes</t>
        </is>
      </c>
      <c r="H28" s="16" t="inlineStr">
        <is>
          <t>FIVE_POINT</t>
        </is>
      </c>
      <c r="I28" s="15" t="inlineStr">
        <is>
          <t>NOT ASSESSED</t>
        </is>
      </c>
      <c r="J28" s="16" t="inlineStr"/>
      <c r="K28" s="16" t="inlineStr">
        <is>
          <t>No</t>
        </is>
      </c>
      <c r="L28" s="16" t="n">
        <v>5</v>
      </c>
      <c r="M28" s="16">
        <f>IF(AND(K28="Yes",I28="NOT MET",J28="PARTIALLY IMPLEMENTED"),"Yes","No")</f>
        <v/>
      </c>
      <c r="N28" s="16">
        <f>IF(OR(I28="MET",I28="NOT APPLICABLE",I28="NOT ASSESSED"),0,IF(AND(K28="Yes",J28="PARTIALLY IMPLEMENTED"),3,L28))</f>
        <v/>
      </c>
      <c r="O28" s="15" t="inlineStr">
        <is>
          <t>Not Started</t>
        </is>
      </c>
      <c r="P28" s="15" t="inlineStr"/>
      <c r="Q28" s="15" t="inlineStr"/>
      <c r="R28" s="15" t="inlineStr"/>
      <c r="S28" s="16">
        <f>IF(I28="NOT MET","Yes","No")</f>
        <v/>
      </c>
      <c r="T28" s="16" t="inlineStr"/>
      <c r="U28" s="16" t="inlineStr">
        <is>
          <t>32 CFR 170.24(c)(2) | Current eCFR</t>
        </is>
      </c>
      <c r="V28" s="16">
        <f>IF(I28="MET","Requirement assessed MET; no deduction.",IF(I28="NOT APPLICABLE","Requirement assessed NOT APPLICABLE; no deduction.",IF(I28="NOT ASSESSED","Requirement not assessed; score remains provisional.",IF(M28="Yes","Partial-credit condition applied; 3 points deducted.","Requirement assessed NOT MET; "&amp;L28&amp;" points deducted."))))</f>
        <v/>
      </c>
    </row>
    <row r="29">
      <c r="A29" s="14" t="inlineStr">
        <is>
          <t>AT</t>
        </is>
      </c>
      <c r="B29" s="14" t="inlineStr">
        <is>
          <t>AT.L2-3.2.2</t>
        </is>
      </c>
      <c r="C29" s="14" t="inlineStr">
        <is>
          <t>Role-Based Training</t>
        </is>
      </c>
      <c r="D29" s="14" t="inlineStr">
        <is>
          <t>Ensure that personnel are trained to carry out their assigned information security -related duties and responsibilities.</t>
        </is>
      </c>
      <c r="E29" s="14" t="n">
        <v>76</v>
      </c>
      <c r="F29" s="14" t="n">
        <v>77</v>
      </c>
      <c r="G29" s="15" t="inlineStr">
        <is>
          <t>Yes</t>
        </is>
      </c>
      <c r="H29" s="16" t="inlineStr">
        <is>
          <t>FIVE_POINT</t>
        </is>
      </c>
      <c r="I29" s="15" t="inlineStr">
        <is>
          <t>NOT ASSESSED</t>
        </is>
      </c>
      <c r="J29" s="16" t="inlineStr"/>
      <c r="K29" s="16" t="inlineStr">
        <is>
          <t>No</t>
        </is>
      </c>
      <c r="L29" s="16" t="n">
        <v>5</v>
      </c>
      <c r="M29" s="16">
        <f>IF(AND(K29="Yes",I29="NOT MET",J29="PARTIALLY IMPLEMENTED"),"Yes","No")</f>
        <v/>
      </c>
      <c r="N29" s="16">
        <f>IF(OR(I29="MET",I29="NOT APPLICABLE",I29="NOT ASSESSED"),0,IF(AND(K29="Yes",J29="PARTIALLY IMPLEMENTED"),3,L29))</f>
        <v/>
      </c>
      <c r="O29" s="15" t="inlineStr">
        <is>
          <t>Not Started</t>
        </is>
      </c>
      <c r="P29" s="15" t="inlineStr"/>
      <c r="Q29" s="15" t="inlineStr"/>
      <c r="R29" s="15" t="inlineStr"/>
      <c r="S29" s="16">
        <f>IF(I29="NOT MET","Yes","No")</f>
        <v/>
      </c>
      <c r="T29" s="16" t="inlineStr"/>
      <c r="U29" s="16" t="inlineStr">
        <is>
          <t>32 CFR 170.24(c)(2) | Current eCFR</t>
        </is>
      </c>
      <c r="V29" s="16">
        <f>IF(I29="MET","Requirement assessed MET; no deduction.",IF(I29="NOT APPLICABLE","Requirement assessed NOT APPLICABLE; no deduction.",IF(I29="NOT ASSESSED","Requirement not assessed; score remains provisional.",IF(M29="Yes","Partial-credit condition applied; 3 points deducted.","Requirement assessed NOT MET; "&amp;L29&amp;" points deducted."))))</f>
        <v/>
      </c>
    </row>
    <row r="30">
      <c r="A30" s="14" t="inlineStr">
        <is>
          <t>AT</t>
        </is>
      </c>
      <c r="B30" s="14" t="inlineStr">
        <is>
          <t>AT.L2-3.2.3</t>
        </is>
      </c>
      <c r="C30" s="14" t="inlineStr">
        <is>
          <t>Insider Threat Awareness</t>
        </is>
      </c>
      <c r="D30" s="14" t="inlineStr">
        <is>
          <t>Provide security awareness training on recognizing and reporting potential indicators of insider threat.</t>
        </is>
      </c>
      <c r="E30" s="14" t="n">
        <v>78</v>
      </c>
      <c r="F30" s="14" t="n">
        <v>79</v>
      </c>
      <c r="G30" s="15" t="inlineStr">
        <is>
          <t>Yes</t>
        </is>
      </c>
      <c r="H30" s="16" t="inlineStr">
        <is>
          <t>ONE_POINT</t>
        </is>
      </c>
      <c r="I30" s="15" t="inlineStr">
        <is>
          <t>NOT ASSESSED</t>
        </is>
      </c>
      <c r="J30" s="16" t="inlineStr"/>
      <c r="K30" s="16" t="inlineStr">
        <is>
          <t>No</t>
        </is>
      </c>
      <c r="L30" s="16" t="n">
        <v>1</v>
      </c>
      <c r="M30" s="16">
        <f>IF(AND(K30="Yes",I30="NOT MET",J30="PARTIALLY IMPLEMENTED"),"Yes","No")</f>
        <v/>
      </c>
      <c r="N30" s="16">
        <f>IF(OR(I30="MET",I30="NOT APPLICABLE",I30="NOT ASSESSED"),0,IF(AND(K30="Yes",J30="PARTIALLY IMPLEMENTED"),3,L30))</f>
        <v/>
      </c>
      <c r="O30" s="15" t="inlineStr">
        <is>
          <t>Not Started</t>
        </is>
      </c>
      <c r="P30" s="15" t="inlineStr"/>
      <c r="Q30" s="15" t="inlineStr"/>
      <c r="R30" s="15" t="inlineStr"/>
      <c r="S30" s="16">
        <f>IF(I30="NOT MET","Yes","No")</f>
        <v/>
      </c>
      <c r="T30" s="16" t="inlineStr"/>
      <c r="U30" s="16" t="inlineStr">
        <is>
          <t>32 CFR 170.24(c)(2) | Current eCFR</t>
        </is>
      </c>
      <c r="V30" s="16">
        <f>IF(I30="MET","Requirement assessed MET; no deduction.",IF(I30="NOT APPLICABLE","Requirement assessed NOT APPLICABLE; no deduction.",IF(I30="NOT ASSESSED","Requirement not assessed; score remains provisional.",IF(M30="Yes","Partial-credit condition applied; 3 points deducted.","Requirement assessed NOT MET; "&amp;L30&amp;" points deducted."))))</f>
        <v/>
      </c>
    </row>
    <row r="31">
      <c r="A31" s="14" t="inlineStr">
        <is>
          <t>AU</t>
        </is>
      </c>
      <c r="B31" s="14" t="inlineStr">
        <is>
          <t>AU.L2-3.3.1</t>
        </is>
      </c>
      <c r="C31" s="14" t="inlineStr">
        <is>
          <t>System Auditing</t>
        </is>
      </c>
      <c r="D31" s="14" t="inlineStr">
        <is>
          <t>Create and retain system audit logs and records to the extent needed to enable the monitoring, analysis, investigation, and reporting of unlawful or unauthorized system activity.</t>
        </is>
      </c>
      <c r="E31" s="14" t="n">
        <v>80</v>
      </c>
      <c r="F31" s="14" t="n">
        <v>82</v>
      </c>
      <c r="G31" s="15" t="inlineStr">
        <is>
          <t>Yes</t>
        </is>
      </c>
      <c r="H31" s="16" t="inlineStr">
        <is>
          <t>FIVE_POINT</t>
        </is>
      </c>
      <c r="I31" s="15" t="inlineStr">
        <is>
          <t>NOT ASSESSED</t>
        </is>
      </c>
      <c r="J31" s="16" t="inlineStr"/>
      <c r="K31" s="16" t="inlineStr">
        <is>
          <t>No</t>
        </is>
      </c>
      <c r="L31" s="16" t="n">
        <v>5</v>
      </c>
      <c r="M31" s="16">
        <f>IF(AND(K31="Yes",I31="NOT MET",J31="PARTIALLY IMPLEMENTED"),"Yes","No")</f>
        <v/>
      </c>
      <c r="N31" s="16">
        <f>IF(OR(I31="MET",I31="NOT APPLICABLE",I31="NOT ASSESSED"),0,IF(AND(K31="Yes",J31="PARTIALLY IMPLEMENTED"),3,L31))</f>
        <v/>
      </c>
      <c r="O31" s="15" t="inlineStr">
        <is>
          <t>Not Started</t>
        </is>
      </c>
      <c r="P31" s="15" t="inlineStr"/>
      <c r="Q31" s="15" t="inlineStr"/>
      <c r="R31" s="15" t="inlineStr"/>
      <c r="S31" s="16">
        <f>IF(I31="NOT MET","Yes","No")</f>
        <v/>
      </c>
      <c r="T31" s="16" t="inlineStr"/>
      <c r="U31" s="16" t="inlineStr">
        <is>
          <t>32 CFR 170.24(c)(2) | Current eCFR</t>
        </is>
      </c>
      <c r="V31" s="16">
        <f>IF(I31="MET","Requirement assessed MET; no deduction.",IF(I31="NOT APPLICABLE","Requirement assessed NOT APPLICABLE; no deduction.",IF(I31="NOT ASSESSED","Requirement not assessed; score remains provisional.",IF(M31="Yes","Partial-credit condition applied; 3 points deducted.","Requirement assessed NOT MET; "&amp;L31&amp;" points deducted."))))</f>
        <v/>
      </c>
    </row>
    <row r="32">
      <c r="A32" s="14" t="inlineStr">
        <is>
          <t>AU</t>
        </is>
      </c>
      <c r="B32" s="14" t="inlineStr">
        <is>
          <t>AU.L2-3.3.2</t>
        </is>
      </c>
      <c r="C32" s="14" t="inlineStr">
        <is>
          <t>User Accountability</t>
        </is>
      </c>
      <c r="D32" s="14" t="inlineStr">
        <is>
          <t>Ensure that the actions of individual system users can be uniquely traced to those users so they can be held accountable for their actions.</t>
        </is>
      </c>
      <c r="E32" s="14" t="n">
        <v>83</v>
      </c>
      <c r="F32" s="14" t="n">
        <v>84</v>
      </c>
      <c r="G32" s="15" t="inlineStr">
        <is>
          <t>Yes</t>
        </is>
      </c>
      <c r="H32" s="16" t="inlineStr">
        <is>
          <t>THREE_POINT</t>
        </is>
      </c>
      <c r="I32" s="15" t="inlineStr">
        <is>
          <t>NOT ASSESSED</t>
        </is>
      </c>
      <c r="J32" s="16" t="inlineStr"/>
      <c r="K32" s="16" t="inlineStr">
        <is>
          <t>No</t>
        </is>
      </c>
      <c r="L32" s="16" t="n">
        <v>3</v>
      </c>
      <c r="M32" s="16">
        <f>IF(AND(K32="Yes",I32="NOT MET",J32="PARTIALLY IMPLEMENTED"),"Yes","No")</f>
        <v/>
      </c>
      <c r="N32" s="16">
        <f>IF(OR(I32="MET",I32="NOT APPLICABLE",I32="NOT ASSESSED"),0,IF(AND(K32="Yes",J32="PARTIALLY IMPLEMENTED"),3,L32))</f>
        <v/>
      </c>
      <c r="O32" s="15" t="inlineStr">
        <is>
          <t>Not Started</t>
        </is>
      </c>
      <c r="P32" s="15" t="inlineStr"/>
      <c r="Q32" s="15" t="inlineStr"/>
      <c r="R32" s="15" t="inlineStr"/>
      <c r="S32" s="16">
        <f>IF(I32="NOT MET","Yes","No")</f>
        <v/>
      </c>
      <c r="T32" s="16" t="inlineStr"/>
      <c r="U32" s="16" t="inlineStr">
        <is>
          <t>32 CFR 170.24(c)(2) | Current eCFR</t>
        </is>
      </c>
      <c r="V32" s="16">
        <f>IF(I32="MET","Requirement assessed MET; no deduction.",IF(I32="NOT APPLICABLE","Requirement assessed NOT APPLICABLE; no deduction.",IF(I32="NOT ASSESSED","Requirement not assessed; score remains provisional.",IF(M32="Yes","Partial-credit condition applied; 3 points deducted.","Requirement assessed NOT MET; "&amp;L32&amp;" points deducted."))))</f>
        <v/>
      </c>
    </row>
    <row r="33">
      <c r="A33" s="14" t="inlineStr">
        <is>
          <t>AU</t>
        </is>
      </c>
      <c r="B33" s="14" t="inlineStr">
        <is>
          <t>AU.L2-3.3.3</t>
        </is>
      </c>
      <c r="C33" s="14" t="inlineStr">
        <is>
          <t>Event Review</t>
        </is>
      </c>
      <c r="D33" s="14" t="inlineStr">
        <is>
          <t>Review and update logged events.</t>
        </is>
      </c>
      <c r="E33" s="14" t="n">
        <v>85</v>
      </c>
      <c r="F33" s="14" t="n">
        <v>86</v>
      </c>
      <c r="G33" s="15" t="inlineStr">
        <is>
          <t>Yes</t>
        </is>
      </c>
      <c r="H33" s="16" t="inlineStr">
        <is>
          <t>ONE_POINT</t>
        </is>
      </c>
      <c r="I33" s="15" t="inlineStr">
        <is>
          <t>NOT ASSESSED</t>
        </is>
      </c>
      <c r="J33" s="16" t="inlineStr"/>
      <c r="K33" s="16" t="inlineStr">
        <is>
          <t>No</t>
        </is>
      </c>
      <c r="L33" s="16" t="n">
        <v>1</v>
      </c>
      <c r="M33" s="16">
        <f>IF(AND(K33="Yes",I33="NOT MET",J33="PARTIALLY IMPLEMENTED"),"Yes","No")</f>
        <v/>
      </c>
      <c r="N33" s="16">
        <f>IF(OR(I33="MET",I33="NOT APPLICABLE",I33="NOT ASSESSED"),0,IF(AND(K33="Yes",J33="PARTIALLY IMPLEMENTED"),3,L33))</f>
        <v/>
      </c>
      <c r="O33" s="15" t="inlineStr">
        <is>
          <t>Not Started</t>
        </is>
      </c>
      <c r="P33" s="15" t="inlineStr"/>
      <c r="Q33" s="15" t="inlineStr"/>
      <c r="R33" s="15" t="inlineStr"/>
      <c r="S33" s="16">
        <f>IF(I33="NOT MET","Yes","No")</f>
        <v/>
      </c>
      <c r="T33" s="16" t="inlineStr"/>
      <c r="U33" s="16" t="inlineStr">
        <is>
          <t>32 CFR 170.24(c)(2) | Current eCFR</t>
        </is>
      </c>
      <c r="V33" s="16">
        <f>IF(I33="MET","Requirement assessed MET; no deduction.",IF(I33="NOT APPLICABLE","Requirement assessed NOT APPLICABLE; no deduction.",IF(I33="NOT ASSESSED","Requirement not assessed; score remains provisional.",IF(M33="Yes","Partial-credit condition applied; 3 points deducted.","Requirement assessed NOT MET; "&amp;L33&amp;" points deducted."))))</f>
        <v/>
      </c>
    </row>
    <row r="34">
      <c r="A34" s="14" t="inlineStr">
        <is>
          <t>AU</t>
        </is>
      </c>
      <c r="B34" s="14" t="inlineStr">
        <is>
          <t>AU.L2-3.3.4</t>
        </is>
      </c>
      <c r="C34" s="14" t="inlineStr">
        <is>
          <t>Audit Failure Alerting</t>
        </is>
      </c>
      <c r="D34" s="14" t="inlineStr">
        <is>
          <t>Alert in the event of an audit logging process failure.</t>
        </is>
      </c>
      <c r="E34" s="14" t="n">
        <v>87</v>
      </c>
      <c r="F34" s="14" t="n">
        <v>88</v>
      </c>
      <c r="G34" s="15" t="inlineStr">
        <is>
          <t>Yes</t>
        </is>
      </c>
      <c r="H34" s="16" t="inlineStr">
        <is>
          <t>ONE_POINT</t>
        </is>
      </c>
      <c r="I34" s="15" t="inlineStr">
        <is>
          <t>NOT ASSESSED</t>
        </is>
      </c>
      <c r="J34" s="16" t="inlineStr"/>
      <c r="K34" s="16" t="inlineStr">
        <is>
          <t>No</t>
        </is>
      </c>
      <c r="L34" s="16" t="n">
        <v>1</v>
      </c>
      <c r="M34" s="16">
        <f>IF(AND(K34="Yes",I34="NOT MET",J34="PARTIALLY IMPLEMENTED"),"Yes","No")</f>
        <v/>
      </c>
      <c r="N34" s="16">
        <f>IF(OR(I34="MET",I34="NOT APPLICABLE",I34="NOT ASSESSED"),0,IF(AND(K34="Yes",J34="PARTIALLY IMPLEMENTED"),3,L34))</f>
        <v/>
      </c>
      <c r="O34" s="15" t="inlineStr">
        <is>
          <t>Not Started</t>
        </is>
      </c>
      <c r="P34" s="15" t="inlineStr"/>
      <c r="Q34" s="15" t="inlineStr"/>
      <c r="R34" s="15" t="inlineStr"/>
      <c r="S34" s="16">
        <f>IF(I34="NOT MET","Yes","No")</f>
        <v/>
      </c>
      <c r="T34" s="16" t="inlineStr"/>
      <c r="U34" s="16" t="inlineStr">
        <is>
          <t>32 CFR 170.24(c)(2) | Current eCFR</t>
        </is>
      </c>
      <c r="V34" s="16">
        <f>IF(I34="MET","Requirement assessed MET; no deduction.",IF(I34="NOT APPLICABLE","Requirement assessed NOT APPLICABLE; no deduction.",IF(I34="NOT ASSESSED","Requirement not assessed; score remains provisional.",IF(M34="Yes","Partial-credit condition applied; 3 points deducted.","Requirement assessed NOT MET; "&amp;L34&amp;" points deducted."))))</f>
        <v/>
      </c>
    </row>
    <row r="35">
      <c r="A35" s="14" t="inlineStr">
        <is>
          <t>AU</t>
        </is>
      </c>
      <c r="B35" s="14" t="inlineStr">
        <is>
          <t>AU.L2-3.3.5</t>
        </is>
      </c>
      <c r="C35" s="14" t="inlineStr">
        <is>
          <t>Audit Correlation</t>
        </is>
      </c>
      <c r="D35" s="14" t="inlineStr">
        <is>
          <t>Correlate audit record review, analysis, and reporting processes for investigation and response to indications of unlawful, unauthorized, suspicious, or unusual activity.</t>
        </is>
      </c>
      <c r="E35" s="14" t="n">
        <v>89</v>
      </c>
      <c r="F35" s="14" t="n">
        <v>90</v>
      </c>
      <c r="G35" s="15" t="inlineStr">
        <is>
          <t>Yes</t>
        </is>
      </c>
      <c r="H35" s="16" t="inlineStr">
        <is>
          <t>FIVE_POINT</t>
        </is>
      </c>
      <c r="I35" s="15" t="inlineStr">
        <is>
          <t>NOT ASSESSED</t>
        </is>
      </c>
      <c r="J35" s="16" t="inlineStr"/>
      <c r="K35" s="16" t="inlineStr">
        <is>
          <t>No</t>
        </is>
      </c>
      <c r="L35" s="16" t="n">
        <v>5</v>
      </c>
      <c r="M35" s="16">
        <f>IF(AND(K35="Yes",I35="NOT MET",J35="PARTIALLY IMPLEMENTED"),"Yes","No")</f>
        <v/>
      </c>
      <c r="N35" s="16">
        <f>IF(OR(I35="MET",I35="NOT APPLICABLE",I35="NOT ASSESSED"),0,IF(AND(K35="Yes",J35="PARTIALLY IMPLEMENTED"),3,L35))</f>
        <v/>
      </c>
      <c r="O35" s="15" t="inlineStr">
        <is>
          <t>Not Started</t>
        </is>
      </c>
      <c r="P35" s="15" t="inlineStr"/>
      <c r="Q35" s="15" t="inlineStr"/>
      <c r="R35" s="15" t="inlineStr"/>
      <c r="S35" s="16">
        <f>IF(I35="NOT MET","Yes","No")</f>
        <v/>
      </c>
      <c r="T35" s="16" t="inlineStr"/>
      <c r="U35" s="16" t="inlineStr">
        <is>
          <t>32 CFR 170.24(c)(2) | Current eCFR</t>
        </is>
      </c>
      <c r="V35" s="16">
        <f>IF(I35="MET","Requirement assessed MET; no deduction.",IF(I35="NOT APPLICABLE","Requirement assessed NOT APPLICABLE; no deduction.",IF(I35="NOT ASSESSED","Requirement not assessed; score remains provisional.",IF(M35="Yes","Partial-credit condition applied; 3 points deducted.","Requirement assessed NOT MET; "&amp;L35&amp;" points deducted."))))</f>
        <v/>
      </c>
    </row>
    <row r="36">
      <c r="A36" s="14" t="inlineStr">
        <is>
          <t>AU</t>
        </is>
      </c>
      <c r="B36" s="14" t="inlineStr">
        <is>
          <t>AU.L2-3.3.6</t>
        </is>
      </c>
      <c r="C36" s="14" t="inlineStr">
        <is>
          <t>Reduction &amp; Reporting</t>
        </is>
      </c>
      <c r="D36" s="14" t="inlineStr">
        <is>
          <t>Provide audit record reduction and report generation to support on- demand analysis and reporting.</t>
        </is>
      </c>
      <c r="E36" s="14" t="n">
        <v>91</v>
      </c>
      <c r="F36" s="14" t="n">
        <v>92</v>
      </c>
      <c r="G36" s="15" t="inlineStr">
        <is>
          <t>Yes</t>
        </is>
      </c>
      <c r="H36" s="16" t="inlineStr">
        <is>
          <t>ONE_POINT</t>
        </is>
      </c>
      <c r="I36" s="15" t="inlineStr">
        <is>
          <t>NOT ASSESSED</t>
        </is>
      </c>
      <c r="J36" s="16" t="inlineStr"/>
      <c r="K36" s="16" t="inlineStr">
        <is>
          <t>No</t>
        </is>
      </c>
      <c r="L36" s="16" t="n">
        <v>1</v>
      </c>
      <c r="M36" s="16">
        <f>IF(AND(K36="Yes",I36="NOT MET",J36="PARTIALLY IMPLEMENTED"),"Yes","No")</f>
        <v/>
      </c>
      <c r="N36" s="16">
        <f>IF(OR(I36="MET",I36="NOT APPLICABLE",I36="NOT ASSESSED"),0,IF(AND(K36="Yes",J36="PARTIALLY IMPLEMENTED"),3,L36))</f>
        <v/>
      </c>
      <c r="O36" s="15" t="inlineStr">
        <is>
          <t>Not Started</t>
        </is>
      </c>
      <c r="P36" s="15" t="inlineStr"/>
      <c r="Q36" s="15" t="inlineStr"/>
      <c r="R36" s="15" t="inlineStr"/>
      <c r="S36" s="16">
        <f>IF(I36="NOT MET","Yes","No")</f>
        <v/>
      </c>
      <c r="T36" s="16" t="inlineStr"/>
      <c r="U36" s="16" t="inlineStr">
        <is>
          <t>32 CFR 170.24(c)(2) | Current eCFR</t>
        </is>
      </c>
      <c r="V36" s="16">
        <f>IF(I36="MET","Requirement assessed MET; no deduction.",IF(I36="NOT APPLICABLE","Requirement assessed NOT APPLICABLE; no deduction.",IF(I36="NOT ASSESSED","Requirement not assessed; score remains provisional.",IF(M36="Yes","Partial-credit condition applied; 3 points deducted.","Requirement assessed NOT MET; "&amp;L36&amp;" points deducted."))))</f>
        <v/>
      </c>
    </row>
    <row r="37">
      <c r="A37" s="14" t="inlineStr">
        <is>
          <t>AU</t>
        </is>
      </c>
      <c r="B37" s="14" t="inlineStr">
        <is>
          <t>AU.L2-3.3.7</t>
        </is>
      </c>
      <c r="C37" s="14" t="inlineStr">
        <is>
          <t>Authoritative Time Source</t>
        </is>
      </c>
      <c r="D37" s="14" t="inlineStr">
        <is>
          <t>Provide a system capability that compares and synchronizes internal system clocks with an authoritative source to generate time stamps for audit records.</t>
        </is>
      </c>
      <c r="E37" s="14" t="n">
        <v>93</v>
      </c>
      <c r="F37" s="14" t="n">
        <v>94</v>
      </c>
      <c r="G37" s="15" t="inlineStr">
        <is>
          <t>Yes</t>
        </is>
      </c>
      <c r="H37" s="16" t="inlineStr">
        <is>
          <t>ONE_POINT</t>
        </is>
      </c>
      <c r="I37" s="15" t="inlineStr">
        <is>
          <t>NOT ASSESSED</t>
        </is>
      </c>
      <c r="J37" s="16" t="inlineStr"/>
      <c r="K37" s="16" t="inlineStr">
        <is>
          <t>No</t>
        </is>
      </c>
      <c r="L37" s="16" t="n">
        <v>1</v>
      </c>
      <c r="M37" s="16">
        <f>IF(AND(K37="Yes",I37="NOT MET",J37="PARTIALLY IMPLEMENTED"),"Yes","No")</f>
        <v/>
      </c>
      <c r="N37" s="16">
        <f>IF(OR(I37="MET",I37="NOT APPLICABLE",I37="NOT ASSESSED"),0,IF(AND(K37="Yes",J37="PARTIALLY IMPLEMENTED"),3,L37))</f>
        <v/>
      </c>
      <c r="O37" s="15" t="inlineStr">
        <is>
          <t>Not Started</t>
        </is>
      </c>
      <c r="P37" s="15" t="inlineStr"/>
      <c r="Q37" s="15" t="inlineStr"/>
      <c r="R37" s="15" t="inlineStr"/>
      <c r="S37" s="16">
        <f>IF(I37="NOT MET","Yes","No")</f>
        <v/>
      </c>
      <c r="T37" s="16" t="inlineStr"/>
      <c r="U37" s="16" t="inlineStr">
        <is>
          <t>32 CFR 170.24(c)(2) | Current eCFR</t>
        </is>
      </c>
      <c r="V37" s="16">
        <f>IF(I37="MET","Requirement assessed MET; no deduction.",IF(I37="NOT APPLICABLE","Requirement assessed NOT APPLICABLE; no deduction.",IF(I37="NOT ASSESSED","Requirement not assessed; score remains provisional.",IF(M37="Yes","Partial-credit condition applied; 3 points deducted.","Requirement assessed NOT MET; "&amp;L37&amp;" points deducted."))))</f>
        <v/>
      </c>
    </row>
    <row r="38">
      <c r="A38" s="14" t="inlineStr">
        <is>
          <t>AU</t>
        </is>
      </c>
      <c r="B38" s="14" t="inlineStr">
        <is>
          <t>AU.L2-3.3.8</t>
        </is>
      </c>
      <c r="C38" s="14" t="inlineStr">
        <is>
          <t>Audit Protection</t>
        </is>
      </c>
      <c r="D38" s="14" t="inlineStr">
        <is>
          <t>Protect audit information and audit logging tools from unauthorized access, modification, and deletion.</t>
        </is>
      </c>
      <c r="E38" s="14" t="n">
        <v>95</v>
      </c>
      <c r="F38" s="14" t="n">
        <v>96</v>
      </c>
      <c r="G38" s="15" t="inlineStr">
        <is>
          <t>Yes</t>
        </is>
      </c>
      <c r="H38" s="16" t="inlineStr">
        <is>
          <t>ONE_POINT</t>
        </is>
      </c>
      <c r="I38" s="15" t="inlineStr">
        <is>
          <t>NOT ASSESSED</t>
        </is>
      </c>
      <c r="J38" s="16" t="inlineStr"/>
      <c r="K38" s="16" t="inlineStr">
        <is>
          <t>No</t>
        </is>
      </c>
      <c r="L38" s="16" t="n">
        <v>1</v>
      </c>
      <c r="M38" s="16">
        <f>IF(AND(K38="Yes",I38="NOT MET",J38="PARTIALLY IMPLEMENTED"),"Yes","No")</f>
        <v/>
      </c>
      <c r="N38" s="16">
        <f>IF(OR(I38="MET",I38="NOT APPLICABLE",I38="NOT ASSESSED"),0,IF(AND(K38="Yes",J38="PARTIALLY IMPLEMENTED"),3,L38))</f>
        <v/>
      </c>
      <c r="O38" s="15" t="inlineStr">
        <is>
          <t>Not Started</t>
        </is>
      </c>
      <c r="P38" s="15" t="inlineStr"/>
      <c r="Q38" s="15" t="inlineStr"/>
      <c r="R38" s="15" t="inlineStr"/>
      <c r="S38" s="16">
        <f>IF(I38="NOT MET","Yes","No")</f>
        <v/>
      </c>
      <c r="T38" s="16" t="inlineStr"/>
      <c r="U38" s="16" t="inlineStr">
        <is>
          <t>32 CFR 170.24(c)(2) | Current eCFR</t>
        </is>
      </c>
      <c r="V38" s="16">
        <f>IF(I38="MET","Requirement assessed MET; no deduction.",IF(I38="NOT APPLICABLE","Requirement assessed NOT APPLICABLE; no deduction.",IF(I38="NOT ASSESSED","Requirement not assessed; score remains provisional.",IF(M38="Yes","Partial-credit condition applied; 3 points deducted.","Requirement assessed NOT MET; "&amp;L38&amp;" points deducted."))))</f>
        <v/>
      </c>
    </row>
    <row r="39">
      <c r="A39" s="14" t="inlineStr">
        <is>
          <t>AU</t>
        </is>
      </c>
      <c r="B39" s="14" t="inlineStr">
        <is>
          <t>AU.L2-3.3.9</t>
        </is>
      </c>
      <c r="C39" s="14" t="inlineStr">
        <is>
          <t>Audit Management</t>
        </is>
      </c>
      <c r="D39" s="14" t="inlineStr">
        <is>
          <t>Limit management of audit logging functionality to a subset of privileged users.</t>
        </is>
      </c>
      <c r="E39" s="14" t="n">
        <v>97</v>
      </c>
      <c r="F39" s="14" t="n">
        <v>98</v>
      </c>
      <c r="G39" s="15" t="inlineStr">
        <is>
          <t>Yes</t>
        </is>
      </c>
      <c r="H39" s="16" t="inlineStr">
        <is>
          <t>ONE_POINT</t>
        </is>
      </c>
      <c r="I39" s="15" t="inlineStr">
        <is>
          <t>NOT ASSESSED</t>
        </is>
      </c>
      <c r="J39" s="16" t="inlineStr"/>
      <c r="K39" s="16" t="inlineStr">
        <is>
          <t>No</t>
        </is>
      </c>
      <c r="L39" s="16" t="n">
        <v>1</v>
      </c>
      <c r="M39" s="16">
        <f>IF(AND(K39="Yes",I39="NOT MET",J39="PARTIALLY IMPLEMENTED"),"Yes","No")</f>
        <v/>
      </c>
      <c r="N39" s="16">
        <f>IF(OR(I39="MET",I39="NOT APPLICABLE",I39="NOT ASSESSED"),0,IF(AND(K39="Yes",J39="PARTIALLY IMPLEMENTED"),3,L39))</f>
        <v/>
      </c>
      <c r="O39" s="15" t="inlineStr">
        <is>
          <t>Not Started</t>
        </is>
      </c>
      <c r="P39" s="15" t="inlineStr"/>
      <c r="Q39" s="15" t="inlineStr"/>
      <c r="R39" s="15" t="inlineStr"/>
      <c r="S39" s="16">
        <f>IF(I39="NOT MET","Yes","No")</f>
        <v/>
      </c>
      <c r="T39" s="16" t="inlineStr"/>
      <c r="U39" s="16" t="inlineStr">
        <is>
          <t>32 CFR 170.24(c)(2) | Current eCFR</t>
        </is>
      </c>
      <c r="V39" s="16">
        <f>IF(I39="MET","Requirement assessed MET; no deduction.",IF(I39="NOT APPLICABLE","Requirement assessed NOT APPLICABLE; no deduction.",IF(I39="NOT ASSESSED","Requirement not assessed; score remains provisional.",IF(M39="Yes","Partial-credit condition applied; 3 points deducted.","Requirement assessed NOT MET; "&amp;L39&amp;" points deducted."))))</f>
        <v/>
      </c>
    </row>
    <row r="40">
      <c r="A40" s="14" t="inlineStr">
        <is>
          <t>CM</t>
        </is>
      </c>
      <c r="B40" s="14" t="inlineStr">
        <is>
          <t>CM.L2-3.4.1</t>
        </is>
      </c>
      <c r="C40" s="14" t="inlineStr">
        <is>
          <t>System Baselining</t>
        </is>
      </c>
      <c r="D40" s="14" t="inlineStr">
        <is>
          <t>Establish and maintain baseline configurations and inventories of organizational systems (including hardware, software, firmware, and documentation) throughout the respective system development life cycles.</t>
        </is>
      </c>
      <c r="E40" s="14" t="n">
        <v>99</v>
      </c>
      <c r="F40" s="14" t="n">
        <v>101</v>
      </c>
      <c r="G40" s="15" t="inlineStr">
        <is>
          <t>Yes</t>
        </is>
      </c>
      <c r="H40" s="16" t="inlineStr">
        <is>
          <t>FIVE_POINT</t>
        </is>
      </c>
      <c r="I40" s="15" t="inlineStr">
        <is>
          <t>NOT ASSESSED</t>
        </is>
      </c>
      <c r="J40" s="16" t="inlineStr"/>
      <c r="K40" s="16" t="inlineStr">
        <is>
          <t>No</t>
        </is>
      </c>
      <c r="L40" s="16" t="n">
        <v>5</v>
      </c>
      <c r="M40" s="16">
        <f>IF(AND(K40="Yes",I40="NOT MET",J40="PARTIALLY IMPLEMENTED"),"Yes","No")</f>
        <v/>
      </c>
      <c r="N40" s="16">
        <f>IF(OR(I40="MET",I40="NOT APPLICABLE",I40="NOT ASSESSED"),0,IF(AND(K40="Yes",J40="PARTIALLY IMPLEMENTED"),3,L40))</f>
        <v/>
      </c>
      <c r="O40" s="15" t="inlineStr">
        <is>
          <t>Not Started</t>
        </is>
      </c>
      <c r="P40" s="15" t="inlineStr"/>
      <c r="Q40" s="15" t="inlineStr"/>
      <c r="R40" s="15" t="inlineStr"/>
      <c r="S40" s="16">
        <f>IF(I40="NOT MET","Yes","No")</f>
        <v/>
      </c>
      <c r="T40" s="16" t="inlineStr"/>
      <c r="U40" s="16" t="inlineStr">
        <is>
          <t>32 CFR 170.24(c)(2) | Current eCFR</t>
        </is>
      </c>
      <c r="V40" s="16">
        <f>IF(I40="MET","Requirement assessed MET; no deduction.",IF(I40="NOT APPLICABLE","Requirement assessed NOT APPLICABLE; no deduction.",IF(I40="NOT ASSESSED","Requirement not assessed; score remains provisional.",IF(M40="Yes","Partial-credit condition applied; 3 points deducted.","Requirement assessed NOT MET; "&amp;L40&amp;" points deducted."))))</f>
        <v/>
      </c>
    </row>
    <row r="41">
      <c r="A41" s="14" t="inlineStr">
        <is>
          <t>CM</t>
        </is>
      </c>
      <c r="B41" s="14" t="inlineStr">
        <is>
          <t>CM.L2-3.4.2</t>
        </is>
      </c>
      <c r="C41" s="14" t="inlineStr">
        <is>
          <t>Security Configuration Enforcement</t>
        </is>
      </c>
      <c r="D41" s="14" t="inlineStr">
        <is>
          <t>Establish and enforce security configuration settings for information technology products employed in organizational systems.</t>
        </is>
      </c>
      <c r="E41" s="14" t="n">
        <v>102</v>
      </c>
      <c r="F41" s="14" t="n">
        <v>103</v>
      </c>
      <c r="G41" s="15" t="inlineStr">
        <is>
          <t>Yes</t>
        </is>
      </c>
      <c r="H41" s="16" t="inlineStr">
        <is>
          <t>FIVE_POINT</t>
        </is>
      </c>
      <c r="I41" s="15" t="inlineStr">
        <is>
          <t>NOT ASSESSED</t>
        </is>
      </c>
      <c r="J41" s="16" t="inlineStr"/>
      <c r="K41" s="16" t="inlineStr">
        <is>
          <t>No</t>
        </is>
      </c>
      <c r="L41" s="16" t="n">
        <v>5</v>
      </c>
      <c r="M41" s="16">
        <f>IF(AND(K41="Yes",I41="NOT MET",J41="PARTIALLY IMPLEMENTED"),"Yes","No")</f>
        <v/>
      </c>
      <c r="N41" s="16">
        <f>IF(OR(I41="MET",I41="NOT APPLICABLE",I41="NOT ASSESSED"),0,IF(AND(K41="Yes",J41="PARTIALLY IMPLEMENTED"),3,L41))</f>
        <v/>
      </c>
      <c r="O41" s="15" t="inlineStr">
        <is>
          <t>Not Started</t>
        </is>
      </c>
      <c r="P41" s="15" t="inlineStr"/>
      <c r="Q41" s="15" t="inlineStr"/>
      <c r="R41" s="15" t="inlineStr"/>
      <c r="S41" s="16">
        <f>IF(I41="NOT MET","Yes","No")</f>
        <v/>
      </c>
      <c r="T41" s="16" t="inlineStr"/>
      <c r="U41" s="16" t="inlineStr">
        <is>
          <t>32 CFR 170.24(c)(2) | Current eCFR</t>
        </is>
      </c>
      <c r="V41" s="16">
        <f>IF(I41="MET","Requirement assessed MET; no deduction.",IF(I41="NOT APPLICABLE","Requirement assessed NOT APPLICABLE; no deduction.",IF(I41="NOT ASSESSED","Requirement not assessed; score remains provisional.",IF(M41="Yes","Partial-credit condition applied; 3 points deducted.","Requirement assessed NOT MET; "&amp;L41&amp;" points deducted."))))</f>
        <v/>
      </c>
    </row>
    <row r="42">
      <c r="A42" s="14" t="inlineStr">
        <is>
          <t>CM</t>
        </is>
      </c>
      <c r="B42" s="14" t="inlineStr">
        <is>
          <t>CM.L2-3.4.3</t>
        </is>
      </c>
      <c r="C42" s="14" t="inlineStr">
        <is>
          <t>System Change Management</t>
        </is>
      </c>
      <c r="D42" s="14" t="inlineStr">
        <is>
          <t>Track, review, approve or disapprove, and log changes to organizational systems.</t>
        </is>
      </c>
      <c r="E42" s="14" t="n">
        <v>104</v>
      </c>
      <c r="F42" s="14" t="n">
        <v>105</v>
      </c>
      <c r="G42" s="15" t="inlineStr">
        <is>
          <t>Yes</t>
        </is>
      </c>
      <c r="H42" s="16" t="inlineStr">
        <is>
          <t>ONE_POINT</t>
        </is>
      </c>
      <c r="I42" s="15" t="inlineStr">
        <is>
          <t>NOT ASSESSED</t>
        </is>
      </c>
      <c r="J42" s="16" t="inlineStr"/>
      <c r="K42" s="16" t="inlineStr">
        <is>
          <t>No</t>
        </is>
      </c>
      <c r="L42" s="16" t="n">
        <v>1</v>
      </c>
      <c r="M42" s="16">
        <f>IF(AND(K42="Yes",I42="NOT MET",J42="PARTIALLY IMPLEMENTED"),"Yes","No")</f>
        <v/>
      </c>
      <c r="N42" s="16">
        <f>IF(OR(I42="MET",I42="NOT APPLICABLE",I42="NOT ASSESSED"),0,IF(AND(K42="Yes",J42="PARTIALLY IMPLEMENTED"),3,L42))</f>
        <v/>
      </c>
      <c r="O42" s="15" t="inlineStr">
        <is>
          <t>Not Started</t>
        </is>
      </c>
      <c r="P42" s="15" t="inlineStr"/>
      <c r="Q42" s="15" t="inlineStr"/>
      <c r="R42" s="15" t="inlineStr"/>
      <c r="S42" s="16">
        <f>IF(I42="NOT MET","Yes","No")</f>
        <v/>
      </c>
      <c r="T42" s="16" t="inlineStr"/>
      <c r="U42" s="16" t="inlineStr">
        <is>
          <t>32 CFR 170.24(c)(2) | Current eCFR</t>
        </is>
      </c>
      <c r="V42" s="16">
        <f>IF(I42="MET","Requirement assessed MET; no deduction.",IF(I42="NOT APPLICABLE","Requirement assessed NOT APPLICABLE; no deduction.",IF(I42="NOT ASSESSED","Requirement not assessed; score remains provisional.",IF(M42="Yes","Partial-credit condition applied; 3 points deducted.","Requirement assessed NOT MET; "&amp;L42&amp;" points deducted."))))</f>
        <v/>
      </c>
    </row>
    <row r="43">
      <c r="A43" s="14" t="inlineStr">
        <is>
          <t>CM</t>
        </is>
      </c>
      <c r="B43" s="14" t="inlineStr">
        <is>
          <t>CM.L2-3.4.4</t>
        </is>
      </c>
      <c r="C43" s="14" t="inlineStr">
        <is>
          <t>Security Impact Analysis</t>
        </is>
      </c>
      <c r="D43" s="14" t="inlineStr">
        <is>
          <t>Analyze the security impact of changes prior to implementation.</t>
        </is>
      </c>
      <c r="E43" s="14" t="n">
        <v>106</v>
      </c>
      <c r="F43" s="14" t="n">
        <v>107</v>
      </c>
      <c r="G43" s="15" t="inlineStr">
        <is>
          <t>Yes</t>
        </is>
      </c>
      <c r="H43" s="16" t="inlineStr">
        <is>
          <t>ONE_POINT</t>
        </is>
      </c>
      <c r="I43" s="15" t="inlineStr">
        <is>
          <t>NOT ASSESSED</t>
        </is>
      </c>
      <c r="J43" s="16" t="inlineStr"/>
      <c r="K43" s="16" t="inlineStr">
        <is>
          <t>No</t>
        </is>
      </c>
      <c r="L43" s="16" t="n">
        <v>1</v>
      </c>
      <c r="M43" s="16">
        <f>IF(AND(K43="Yes",I43="NOT MET",J43="PARTIALLY IMPLEMENTED"),"Yes","No")</f>
        <v/>
      </c>
      <c r="N43" s="16">
        <f>IF(OR(I43="MET",I43="NOT APPLICABLE",I43="NOT ASSESSED"),0,IF(AND(K43="Yes",J43="PARTIALLY IMPLEMENTED"),3,L43))</f>
        <v/>
      </c>
      <c r="O43" s="15" t="inlineStr">
        <is>
          <t>Not Started</t>
        </is>
      </c>
      <c r="P43" s="15" t="inlineStr"/>
      <c r="Q43" s="15" t="inlineStr"/>
      <c r="R43" s="15" t="inlineStr"/>
      <c r="S43" s="16">
        <f>IF(I43="NOT MET","Yes","No")</f>
        <v/>
      </c>
      <c r="T43" s="16" t="inlineStr"/>
      <c r="U43" s="16" t="inlineStr">
        <is>
          <t>32 CFR 170.24(c)(2) | Current eCFR</t>
        </is>
      </c>
      <c r="V43" s="16">
        <f>IF(I43="MET","Requirement assessed MET; no deduction.",IF(I43="NOT APPLICABLE","Requirement assessed NOT APPLICABLE; no deduction.",IF(I43="NOT ASSESSED","Requirement not assessed; score remains provisional.",IF(M43="Yes","Partial-credit condition applied; 3 points deducted.","Requirement assessed NOT MET; "&amp;L43&amp;" points deducted."))))</f>
        <v/>
      </c>
    </row>
    <row r="44">
      <c r="A44" s="14" t="inlineStr">
        <is>
          <t>CM</t>
        </is>
      </c>
      <c r="B44" s="14" t="inlineStr">
        <is>
          <t>CM.L2-3.4.5</t>
        </is>
      </c>
      <c r="C44" s="14" t="inlineStr">
        <is>
          <t>Access Restrictions for Change</t>
        </is>
      </c>
      <c r="D44" s="14" t="inlineStr">
        <is>
          <t>Define, document, approve, and enforce physical and logical access restrictions associated with changes to organizational systems.</t>
        </is>
      </c>
      <c r="E44" s="14" t="n">
        <v>108</v>
      </c>
      <c r="F44" s="14" t="n">
        <v>110</v>
      </c>
      <c r="G44" s="15" t="inlineStr">
        <is>
          <t>Yes</t>
        </is>
      </c>
      <c r="H44" s="16" t="inlineStr">
        <is>
          <t>FIVE_POINT</t>
        </is>
      </c>
      <c r="I44" s="15" t="inlineStr">
        <is>
          <t>NOT ASSESSED</t>
        </is>
      </c>
      <c r="J44" s="16" t="inlineStr"/>
      <c r="K44" s="16" t="inlineStr">
        <is>
          <t>No</t>
        </is>
      </c>
      <c r="L44" s="16" t="n">
        <v>5</v>
      </c>
      <c r="M44" s="16">
        <f>IF(AND(K44="Yes",I44="NOT MET",J44="PARTIALLY IMPLEMENTED"),"Yes","No")</f>
        <v/>
      </c>
      <c r="N44" s="16">
        <f>IF(OR(I44="MET",I44="NOT APPLICABLE",I44="NOT ASSESSED"),0,IF(AND(K44="Yes",J44="PARTIALLY IMPLEMENTED"),3,L44))</f>
        <v/>
      </c>
      <c r="O44" s="15" t="inlineStr">
        <is>
          <t>Not Started</t>
        </is>
      </c>
      <c r="P44" s="15" t="inlineStr"/>
      <c r="Q44" s="15" t="inlineStr"/>
      <c r="R44" s="15" t="inlineStr"/>
      <c r="S44" s="16">
        <f>IF(I44="NOT MET","Yes","No")</f>
        <v/>
      </c>
      <c r="T44" s="16" t="inlineStr"/>
      <c r="U44" s="16" t="inlineStr">
        <is>
          <t>32 CFR 170.24(c)(2) | Current eCFR</t>
        </is>
      </c>
      <c r="V44" s="16">
        <f>IF(I44="MET","Requirement assessed MET; no deduction.",IF(I44="NOT APPLICABLE","Requirement assessed NOT APPLICABLE; no deduction.",IF(I44="NOT ASSESSED","Requirement not assessed; score remains provisional.",IF(M44="Yes","Partial-credit condition applied; 3 points deducted.","Requirement assessed NOT MET; "&amp;L44&amp;" points deducted."))))</f>
        <v/>
      </c>
    </row>
    <row r="45">
      <c r="A45" s="14" t="inlineStr">
        <is>
          <t>CM</t>
        </is>
      </c>
      <c r="B45" s="14" t="inlineStr">
        <is>
          <t>CM.L2-3.4.6</t>
        </is>
      </c>
      <c r="C45" s="14" t="inlineStr">
        <is>
          <t>Least Functionality</t>
        </is>
      </c>
      <c r="D45" s="14" t="inlineStr">
        <is>
          <t>Employ the principle of least functionality by configuring organizational systems to provide only essential capabilities.</t>
        </is>
      </c>
      <c r="E45" s="14" t="n">
        <v>111</v>
      </c>
      <c r="F45" s="14" t="n">
        <v>112</v>
      </c>
      <c r="G45" s="15" t="inlineStr">
        <is>
          <t>Yes</t>
        </is>
      </c>
      <c r="H45" s="16" t="inlineStr">
        <is>
          <t>FIVE_POINT</t>
        </is>
      </c>
      <c r="I45" s="15" t="inlineStr">
        <is>
          <t>NOT ASSESSED</t>
        </is>
      </c>
      <c r="J45" s="16" t="inlineStr"/>
      <c r="K45" s="16" t="inlineStr">
        <is>
          <t>No</t>
        </is>
      </c>
      <c r="L45" s="16" t="n">
        <v>5</v>
      </c>
      <c r="M45" s="16">
        <f>IF(AND(K45="Yes",I45="NOT MET",J45="PARTIALLY IMPLEMENTED"),"Yes","No")</f>
        <v/>
      </c>
      <c r="N45" s="16">
        <f>IF(OR(I45="MET",I45="NOT APPLICABLE",I45="NOT ASSESSED"),0,IF(AND(K45="Yes",J45="PARTIALLY IMPLEMENTED"),3,L45))</f>
        <v/>
      </c>
      <c r="O45" s="15" t="inlineStr">
        <is>
          <t>Not Started</t>
        </is>
      </c>
      <c r="P45" s="15" t="inlineStr"/>
      <c r="Q45" s="15" t="inlineStr"/>
      <c r="R45" s="15" t="inlineStr"/>
      <c r="S45" s="16">
        <f>IF(I45="NOT MET","Yes","No")</f>
        <v/>
      </c>
      <c r="T45" s="16" t="inlineStr"/>
      <c r="U45" s="16" t="inlineStr">
        <is>
          <t>32 CFR 170.24(c)(2) | Current eCFR</t>
        </is>
      </c>
      <c r="V45" s="16">
        <f>IF(I45="MET","Requirement assessed MET; no deduction.",IF(I45="NOT APPLICABLE","Requirement assessed NOT APPLICABLE; no deduction.",IF(I45="NOT ASSESSED","Requirement not assessed; score remains provisional.",IF(M45="Yes","Partial-credit condition applied; 3 points deducted.","Requirement assessed NOT MET; "&amp;L45&amp;" points deducted."))))</f>
        <v/>
      </c>
    </row>
    <row r="46">
      <c r="A46" s="14" t="inlineStr">
        <is>
          <t>CM</t>
        </is>
      </c>
      <c r="B46" s="14" t="inlineStr">
        <is>
          <t>CM.L2-3.4.7</t>
        </is>
      </c>
      <c r="C46" s="14" t="inlineStr">
        <is>
          <t>Nonessential Functionality</t>
        </is>
      </c>
      <c r="D46" s="14" t="inlineStr">
        <is>
          <t>Restrict, disable, or prevent the use of nonessential programs, functions, ports, protocols, and services.</t>
        </is>
      </c>
      <c r="E46" s="14" t="n">
        <v>113</v>
      </c>
      <c r="F46" s="14" t="n">
        <v>115</v>
      </c>
      <c r="G46" s="15" t="inlineStr">
        <is>
          <t>Yes</t>
        </is>
      </c>
      <c r="H46" s="16" t="inlineStr">
        <is>
          <t>FIVE_POINT</t>
        </is>
      </c>
      <c r="I46" s="15" t="inlineStr">
        <is>
          <t>NOT ASSESSED</t>
        </is>
      </c>
      <c r="J46" s="16" t="inlineStr"/>
      <c r="K46" s="16" t="inlineStr">
        <is>
          <t>No</t>
        </is>
      </c>
      <c r="L46" s="16" t="n">
        <v>5</v>
      </c>
      <c r="M46" s="16">
        <f>IF(AND(K46="Yes",I46="NOT MET",J46="PARTIALLY IMPLEMENTED"),"Yes","No")</f>
        <v/>
      </c>
      <c r="N46" s="16">
        <f>IF(OR(I46="MET",I46="NOT APPLICABLE",I46="NOT ASSESSED"),0,IF(AND(K46="Yes",J46="PARTIALLY IMPLEMENTED"),3,L46))</f>
        <v/>
      </c>
      <c r="O46" s="15" t="inlineStr">
        <is>
          <t>Not Started</t>
        </is>
      </c>
      <c r="P46" s="15" t="inlineStr"/>
      <c r="Q46" s="15" t="inlineStr"/>
      <c r="R46" s="15" t="inlineStr"/>
      <c r="S46" s="16">
        <f>IF(I46="NOT MET","Yes","No")</f>
        <v/>
      </c>
      <c r="T46" s="16" t="inlineStr"/>
      <c r="U46" s="16" t="inlineStr">
        <is>
          <t>32 CFR 170.24(c)(2) | Current eCFR</t>
        </is>
      </c>
      <c r="V46" s="16">
        <f>IF(I46="MET","Requirement assessed MET; no deduction.",IF(I46="NOT APPLICABLE","Requirement assessed NOT APPLICABLE; no deduction.",IF(I46="NOT ASSESSED","Requirement not assessed; score remains provisional.",IF(M46="Yes","Partial-credit condition applied; 3 points deducted.","Requirement assessed NOT MET; "&amp;L46&amp;" points deducted."))))</f>
        <v/>
      </c>
    </row>
    <row r="47">
      <c r="A47" s="14" t="inlineStr">
        <is>
          <t>CM</t>
        </is>
      </c>
      <c r="B47" s="14" t="inlineStr">
        <is>
          <t>CM.L2-3.4.8</t>
        </is>
      </c>
      <c r="C47" s="14" t="inlineStr">
        <is>
          <t>Application Execution Policy</t>
        </is>
      </c>
      <c r="D47" s="14" t="inlineStr">
        <is>
          <t>Apply deny-by-exception (blacklisting) policy to prevent the use of unauthorized software or deny-all, permit-by-exception (whitelisting) policy to allow the execution of authorized software.</t>
        </is>
      </c>
      <c r="E47" s="14" t="n">
        <v>116</v>
      </c>
      <c r="F47" s="14" t="n">
        <v>117</v>
      </c>
      <c r="G47" s="15" t="inlineStr">
        <is>
          <t>Yes</t>
        </is>
      </c>
      <c r="H47" s="16" t="inlineStr">
        <is>
          <t>FIVE_POINT</t>
        </is>
      </c>
      <c r="I47" s="15" t="inlineStr">
        <is>
          <t>NOT ASSESSED</t>
        </is>
      </c>
      <c r="J47" s="16" t="inlineStr"/>
      <c r="K47" s="16" t="inlineStr">
        <is>
          <t>No</t>
        </is>
      </c>
      <c r="L47" s="16" t="n">
        <v>5</v>
      </c>
      <c r="M47" s="16">
        <f>IF(AND(K47="Yes",I47="NOT MET",J47="PARTIALLY IMPLEMENTED"),"Yes","No")</f>
        <v/>
      </c>
      <c r="N47" s="16">
        <f>IF(OR(I47="MET",I47="NOT APPLICABLE",I47="NOT ASSESSED"),0,IF(AND(K47="Yes",J47="PARTIALLY IMPLEMENTED"),3,L47))</f>
        <v/>
      </c>
      <c r="O47" s="15" t="inlineStr">
        <is>
          <t>Not Started</t>
        </is>
      </c>
      <c r="P47" s="15" t="inlineStr"/>
      <c r="Q47" s="15" t="inlineStr"/>
      <c r="R47" s="15" t="inlineStr"/>
      <c r="S47" s="16">
        <f>IF(I47="NOT MET","Yes","No")</f>
        <v/>
      </c>
      <c r="T47" s="16" t="inlineStr"/>
      <c r="U47" s="16" t="inlineStr">
        <is>
          <t>32 CFR 170.24(c)(2) | Current eCFR</t>
        </is>
      </c>
      <c r="V47" s="16">
        <f>IF(I47="MET","Requirement assessed MET; no deduction.",IF(I47="NOT APPLICABLE","Requirement assessed NOT APPLICABLE; no deduction.",IF(I47="NOT ASSESSED","Requirement not assessed; score remains provisional.",IF(M47="Yes","Partial-credit condition applied; 3 points deducted.","Requirement assessed NOT MET; "&amp;L47&amp;" points deducted."))))</f>
        <v/>
      </c>
    </row>
    <row r="48">
      <c r="A48" s="14" t="inlineStr">
        <is>
          <t>CM</t>
        </is>
      </c>
      <c r="B48" s="14" t="inlineStr">
        <is>
          <t>CM.L2-3.4.9</t>
        </is>
      </c>
      <c r="C48" s="14" t="inlineStr">
        <is>
          <t>User-Installed Software</t>
        </is>
      </c>
      <c r="D48" s="14" t="inlineStr">
        <is>
          <t>Control and monitor user-installed software.</t>
        </is>
      </c>
      <c r="E48" s="14" t="n">
        <v>118</v>
      </c>
      <c r="F48" s="14" t="n">
        <v>119</v>
      </c>
      <c r="G48" s="15" t="inlineStr">
        <is>
          <t>Yes</t>
        </is>
      </c>
      <c r="H48" s="16" t="inlineStr">
        <is>
          <t>ONE_POINT</t>
        </is>
      </c>
      <c r="I48" s="15" t="inlineStr">
        <is>
          <t>NOT ASSESSED</t>
        </is>
      </c>
      <c r="J48" s="16" t="inlineStr"/>
      <c r="K48" s="16" t="inlineStr">
        <is>
          <t>No</t>
        </is>
      </c>
      <c r="L48" s="16" t="n">
        <v>1</v>
      </c>
      <c r="M48" s="16">
        <f>IF(AND(K48="Yes",I48="NOT MET",J48="PARTIALLY IMPLEMENTED"),"Yes","No")</f>
        <v/>
      </c>
      <c r="N48" s="16">
        <f>IF(OR(I48="MET",I48="NOT APPLICABLE",I48="NOT ASSESSED"),0,IF(AND(K48="Yes",J48="PARTIALLY IMPLEMENTED"),3,L48))</f>
        <v/>
      </c>
      <c r="O48" s="15" t="inlineStr">
        <is>
          <t>Not Started</t>
        </is>
      </c>
      <c r="P48" s="15" t="inlineStr"/>
      <c r="Q48" s="15" t="inlineStr"/>
      <c r="R48" s="15" t="inlineStr"/>
      <c r="S48" s="16">
        <f>IF(I48="NOT MET","Yes","No")</f>
        <v/>
      </c>
      <c r="T48" s="16" t="inlineStr"/>
      <c r="U48" s="16" t="inlineStr">
        <is>
          <t>32 CFR 170.24(c)(2) | Current eCFR</t>
        </is>
      </c>
      <c r="V48" s="16">
        <f>IF(I48="MET","Requirement assessed MET; no deduction.",IF(I48="NOT APPLICABLE","Requirement assessed NOT APPLICABLE; no deduction.",IF(I48="NOT ASSESSED","Requirement not assessed; score remains provisional.",IF(M48="Yes","Partial-credit condition applied; 3 points deducted.","Requirement assessed NOT MET; "&amp;L48&amp;" points deducted."))))</f>
        <v/>
      </c>
    </row>
    <row r="49">
      <c r="A49" s="14" t="inlineStr">
        <is>
          <t>IA</t>
        </is>
      </c>
      <c r="B49" s="14" t="inlineStr">
        <is>
          <t>IA.L2-3.5.1</t>
        </is>
      </c>
      <c r="C49" s="14" t="inlineStr">
        <is>
          <t>Identification [CUI Data]</t>
        </is>
      </c>
      <c r="D49" s="14" t="inlineStr">
        <is>
          <t>Identify system users, processes acting on behalf of users, and devices.</t>
        </is>
      </c>
      <c r="E49" s="14" t="n">
        <v>120</v>
      </c>
      <c r="F49" s="14" t="n">
        <v>121</v>
      </c>
      <c r="G49" s="15" t="inlineStr">
        <is>
          <t>Yes</t>
        </is>
      </c>
      <c r="H49" s="16" t="inlineStr">
        <is>
          <t>FIVE_POINT</t>
        </is>
      </c>
      <c r="I49" s="15" t="inlineStr">
        <is>
          <t>NOT ASSESSED</t>
        </is>
      </c>
      <c r="J49" s="16" t="inlineStr"/>
      <c r="K49" s="16" t="inlineStr">
        <is>
          <t>No</t>
        </is>
      </c>
      <c r="L49" s="16" t="n">
        <v>5</v>
      </c>
      <c r="M49" s="16">
        <f>IF(AND(K49="Yes",I49="NOT MET",J49="PARTIALLY IMPLEMENTED"),"Yes","No")</f>
        <v/>
      </c>
      <c r="N49" s="16">
        <f>IF(OR(I49="MET",I49="NOT APPLICABLE",I49="NOT ASSESSED"),0,IF(AND(K49="Yes",J49="PARTIALLY IMPLEMENTED"),3,L49))</f>
        <v/>
      </c>
      <c r="O49" s="15" t="inlineStr">
        <is>
          <t>Not Started</t>
        </is>
      </c>
      <c r="P49" s="15" t="inlineStr"/>
      <c r="Q49" s="15" t="inlineStr"/>
      <c r="R49" s="15" t="inlineStr"/>
      <c r="S49" s="16">
        <f>IF(I49="NOT MET","Yes","No")</f>
        <v/>
      </c>
      <c r="T49" s="16" t="inlineStr"/>
      <c r="U49" s="16" t="inlineStr">
        <is>
          <t>32 CFR 170.24(c)(2) | Current eCFR</t>
        </is>
      </c>
      <c r="V49" s="16">
        <f>IF(I49="MET","Requirement assessed MET; no deduction.",IF(I49="NOT APPLICABLE","Requirement assessed NOT APPLICABLE; no deduction.",IF(I49="NOT ASSESSED","Requirement not assessed; score remains provisional.",IF(M49="Yes","Partial-credit condition applied; 3 points deducted.","Requirement assessed NOT MET; "&amp;L49&amp;" points deducted."))))</f>
        <v/>
      </c>
    </row>
    <row r="50">
      <c r="A50" s="14" t="inlineStr">
        <is>
          <t>IA</t>
        </is>
      </c>
      <c r="B50" s="14" t="inlineStr">
        <is>
          <t>IA.L2-3.5.2</t>
        </is>
      </c>
      <c r="C50" s="14" t="inlineStr">
        <is>
          <t>Authentication [CUI Data]</t>
        </is>
      </c>
      <c r="D50" s="14" t="inlineStr">
        <is>
          <t>Authenticate (or verify) the identities of users, processes, or devices, as a prerequisite to allowing access to organizational systems.</t>
        </is>
      </c>
      <c r="E50" s="14" t="n">
        <v>122</v>
      </c>
      <c r="F50" s="14" t="n">
        <v>124</v>
      </c>
      <c r="G50" s="15" t="inlineStr">
        <is>
          <t>Yes</t>
        </is>
      </c>
      <c r="H50" s="16" t="inlineStr">
        <is>
          <t>FIVE_POINT</t>
        </is>
      </c>
      <c r="I50" s="15" t="inlineStr">
        <is>
          <t>NOT ASSESSED</t>
        </is>
      </c>
      <c r="J50" s="16" t="inlineStr"/>
      <c r="K50" s="16" t="inlineStr">
        <is>
          <t>No</t>
        </is>
      </c>
      <c r="L50" s="16" t="n">
        <v>5</v>
      </c>
      <c r="M50" s="16">
        <f>IF(AND(K50="Yes",I50="NOT MET",J50="PARTIALLY IMPLEMENTED"),"Yes","No")</f>
        <v/>
      </c>
      <c r="N50" s="16">
        <f>IF(OR(I50="MET",I50="NOT APPLICABLE",I50="NOT ASSESSED"),0,IF(AND(K50="Yes",J50="PARTIALLY IMPLEMENTED"),3,L50))</f>
        <v/>
      </c>
      <c r="O50" s="15" t="inlineStr">
        <is>
          <t>Not Started</t>
        </is>
      </c>
      <c r="P50" s="15" t="inlineStr"/>
      <c r="Q50" s="15" t="inlineStr"/>
      <c r="R50" s="15" t="inlineStr"/>
      <c r="S50" s="16">
        <f>IF(I50="NOT MET","Yes","No")</f>
        <v/>
      </c>
      <c r="T50" s="16" t="inlineStr"/>
      <c r="U50" s="16" t="inlineStr">
        <is>
          <t>32 CFR 170.24(c)(2) | Current eCFR</t>
        </is>
      </c>
      <c r="V50" s="16">
        <f>IF(I50="MET","Requirement assessed MET; no deduction.",IF(I50="NOT APPLICABLE","Requirement assessed NOT APPLICABLE; no deduction.",IF(I50="NOT ASSESSED","Requirement not assessed; score remains provisional.",IF(M50="Yes","Partial-credit condition applied; 3 points deducted.","Requirement assessed NOT MET; "&amp;L50&amp;" points deducted."))))</f>
        <v/>
      </c>
    </row>
    <row r="51">
      <c r="A51" s="14" t="inlineStr">
        <is>
          <t>IA</t>
        </is>
      </c>
      <c r="B51" s="14" t="inlineStr">
        <is>
          <t>IA.L2-3.5.3</t>
        </is>
      </c>
      <c r="C51" s="14" t="inlineStr">
        <is>
          <t>Multifactor Authentication</t>
        </is>
      </c>
      <c r="D51" s="14" t="inlineStr">
        <is>
          <t>Use multifactor authentication for local and network access to privileged accounts and for network access to non-privileged accounts.</t>
        </is>
      </c>
      <c r="E51" s="14" t="n">
        <v>125</v>
      </c>
      <c r="F51" s="14" t="n">
        <v>127</v>
      </c>
      <c r="G51" s="15" t="inlineStr">
        <is>
          <t>Yes</t>
        </is>
      </c>
      <c r="H51" s="16" t="inlineStr">
        <is>
          <t>PARTIAL_3_OR_5</t>
        </is>
      </c>
      <c r="I51" s="15" t="inlineStr">
        <is>
          <t>NOT ASSESSED</t>
        </is>
      </c>
      <c r="J51" s="15" t="inlineStr">
        <is>
          <t>NOT ASSESSED</t>
        </is>
      </c>
      <c r="K51" s="16" t="inlineStr">
        <is>
          <t>Yes</t>
        </is>
      </c>
      <c r="L51" s="16" t="n">
        <v>5</v>
      </c>
      <c r="M51" s="16">
        <f>IF(AND(K51="Yes",I51="NOT MET",J51="PARTIALLY IMPLEMENTED"),"Yes","No")</f>
        <v/>
      </c>
      <c r="N51" s="16">
        <f>IF(OR(I51="MET",I51="NOT APPLICABLE",I51="NOT ASSESSED"),0,IF(AND(K51="Yes",J51="PARTIALLY IMPLEMENTED"),3,L51))</f>
        <v/>
      </c>
      <c r="O51" s="15" t="inlineStr">
        <is>
          <t>Not Started</t>
        </is>
      </c>
      <c r="P51" s="15" t="inlineStr"/>
      <c r="Q51" s="15" t="inlineStr"/>
      <c r="R51" s="15" t="inlineStr"/>
      <c r="S51" s="16">
        <f>IF(I51="NOT MET","Yes","No")</f>
        <v/>
      </c>
      <c r="T51" s="16" t="inlineStr">
        <is>
          <t>MFA is implemented only for remote and privileged users.</t>
        </is>
      </c>
      <c r="U51" s="16" t="inlineStr">
        <is>
          <t>32 CFR 170.24(c)(2) | Current eCFR</t>
        </is>
      </c>
      <c r="V51" s="16">
        <f>IF(I51="MET","Requirement assessed MET; no deduction.",IF(I51="NOT APPLICABLE","Requirement assessed NOT APPLICABLE; no deduction.",IF(I51="NOT ASSESSED","Requirement not assessed; score remains provisional.",IF(M51="Yes","Partial-credit condition applied; 3 points deducted.","Requirement assessed NOT MET; "&amp;L51&amp;" points deducted."))))</f>
        <v/>
      </c>
    </row>
    <row r="52">
      <c r="A52" s="14" t="inlineStr">
        <is>
          <t>IA</t>
        </is>
      </c>
      <c r="B52" s="14" t="inlineStr">
        <is>
          <t>IA.L2-3.5.4</t>
        </is>
      </c>
      <c r="C52" s="14" t="inlineStr">
        <is>
          <t>Replay-Resistant Authentication</t>
        </is>
      </c>
      <c r="D52" s="14" t="inlineStr">
        <is>
          <t>Employ replay -resistant authentication mechanisms for network access to privileged and non-privileged accounts.</t>
        </is>
      </c>
      <c r="E52" s="14" t="n">
        <v>128</v>
      </c>
      <c r="F52" s="14" t="n">
        <v>129</v>
      </c>
      <c r="G52" s="15" t="inlineStr">
        <is>
          <t>Yes</t>
        </is>
      </c>
      <c r="H52" s="16" t="inlineStr">
        <is>
          <t>ONE_POINT</t>
        </is>
      </c>
      <c r="I52" s="15" t="inlineStr">
        <is>
          <t>NOT ASSESSED</t>
        </is>
      </c>
      <c r="J52" s="16" t="inlineStr"/>
      <c r="K52" s="16" t="inlineStr">
        <is>
          <t>No</t>
        </is>
      </c>
      <c r="L52" s="16" t="n">
        <v>1</v>
      </c>
      <c r="M52" s="16">
        <f>IF(AND(K52="Yes",I52="NOT MET",J52="PARTIALLY IMPLEMENTED"),"Yes","No")</f>
        <v/>
      </c>
      <c r="N52" s="16">
        <f>IF(OR(I52="MET",I52="NOT APPLICABLE",I52="NOT ASSESSED"),0,IF(AND(K52="Yes",J52="PARTIALLY IMPLEMENTED"),3,L52))</f>
        <v/>
      </c>
      <c r="O52" s="15" t="inlineStr">
        <is>
          <t>Not Started</t>
        </is>
      </c>
      <c r="P52" s="15" t="inlineStr"/>
      <c r="Q52" s="15" t="inlineStr"/>
      <c r="R52" s="15" t="inlineStr"/>
      <c r="S52" s="16">
        <f>IF(I52="NOT MET","Yes","No")</f>
        <v/>
      </c>
      <c r="T52" s="16" t="inlineStr"/>
      <c r="U52" s="16" t="inlineStr">
        <is>
          <t>32 CFR 170.24(c)(2) | Current eCFR</t>
        </is>
      </c>
      <c r="V52" s="16">
        <f>IF(I52="MET","Requirement assessed MET; no deduction.",IF(I52="NOT APPLICABLE","Requirement assessed NOT APPLICABLE; no deduction.",IF(I52="NOT ASSESSED","Requirement not assessed; score remains provisional.",IF(M52="Yes","Partial-credit condition applied; 3 points deducted.","Requirement assessed NOT MET; "&amp;L52&amp;" points deducted."))))</f>
        <v/>
      </c>
    </row>
    <row r="53">
      <c r="A53" s="14" t="inlineStr">
        <is>
          <t>IA</t>
        </is>
      </c>
      <c r="B53" s="14" t="inlineStr">
        <is>
          <t>IA.L2-3.5.5</t>
        </is>
      </c>
      <c r="C53" s="14" t="inlineStr">
        <is>
          <t>Identifier Reuse</t>
        </is>
      </c>
      <c r="D53" s="14" t="inlineStr">
        <is>
          <t>Prevent reuse of identifiers for a defined period.</t>
        </is>
      </c>
      <c r="E53" s="14" t="n">
        <v>130</v>
      </c>
      <c r="F53" s="14" t="n">
        <v>131</v>
      </c>
      <c r="G53" s="15" t="inlineStr">
        <is>
          <t>Yes</t>
        </is>
      </c>
      <c r="H53" s="16" t="inlineStr">
        <is>
          <t>ONE_POINT</t>
        </is>
      </c>
      <c r="I53" s="15" t="inlineStr">
        <is>
          <t>NOT ASSESSED</t>
        </is>
      </c>
      <c r="J53" s="16" t="inlineStr"/>
      <c r="K53" s="16" t="inlineStr">
        <is>
          <t>No</t>
        </is>
      </c>
      <c r="L53" s="16" t="n">
        <v>1</v>
      </c>
      <c r="M53" s="16">
        <f>IF(AND(K53="Yes",I53="NOT MET",J53="PARTIALLY IMPLEMENTED"),"Yes","No")</f>
        <v/>
      </c>
      <c r="N53" s="16">
        <f>IF(OR(I53="MET",I53="NOT APPLICABLE",I53="NOT ASSESSED"),0,IF(AND(K53="Yes",J53="PARTIALLY IMPLEMENTED"),3,L53))</f>
        <v/>
      </c>
      <c r="O53" s="15" t="inlineStr">
        <is>
          <t>Not Started</t>
        </is>
      </c>
      <c r="P53" s="15" t="inlineStr"/>
      <c r="Q53" s="15" t="inlineStr"/>
      <c r="R53" s="15" t="inlineStr"/>
      <c r="S53" s="16">
        <f>IF(I53="NOT MET","Yes","No")</f>
        <v/>
      </c>
      <c r="T53" s="16" t="inlineStr"/>
      <c r="U53" s="16" t="inlineStr">
        <is>
          <t>32 CFR 170.24(c)(2) | Current eCFR</t>
        </is>
      </c>
      <c r="V53" s="16">
        <f>IF(I53="MET","Requirement assessed MET; no deduction.",IF(I53="NOT APPLICABLE","Requirement assessed NOT APPLICABLE; no deduction.",IF(I53="NOT ASSESSED","Requirement not assessed; score remains provisional.",IF(M53="Yes","Partial-credit condition applied; 3 points deducted.","Requirement assessed NOT MET; "&amp;L53&amp;" points deducted."))))</f>
        <v/>
      </c>
    </row>
    <row r="54">
      <c r="A54" s="14" t="inlineStr">
        <is>
          <t>IA</t>
        </is>
      </c>
      <c r="B54" s="14" t="inlineStr">
        <is>
          <t>IA.L2-3.5.6</t>
        </is>
      </c>
      <c r="C54" s="14" t="inlineStr">
        <is>
          <t>Identifier Handling</t>
        </is>
      </c>
      <c r="D54" s="14" t="inlineStr">
        <is>
          <t>Disable identifiers after a defined period of inactivity.</t>
        </is>
      </c>
      <c r="E54" s="14" t="n">
        <v>132</v>
      </c>
      <c r="F54" s="14" t="n">
        <v>133</v>
      </c>
      <c r="G54" s="15" t="inlineStr">
        <is>
          <t>Yes</t>
        </is>
      </c>
      <c r="H54" s="16" t="inlineStr">
        <is>
          <t>ONE_POINT</t>
        </is>
      </c>
      <c r="I54" s="15" t="inlineStr">
        <is>
          <t>NOT ASSESSED</t>
        </is>
      </c>
      <c r="J54" s="16" t="inlineStr"/>
      <c r="K54" s="16" t="inlineStr">
        <is>
          <t>No</t>
        </is>
      </c>
      <c r="L54" s="16" t="n">
        <v>1</v>
      </c>
      <c r="M54" s="16">
        <f>IF(AND(K54="Yes",I54="NOT MET",J54="PARTIALLY IMPLEMENTED"),"Yes","No")</f>
        <v/>
      </c>
      <c r="N54" s="16">
        <f>IF(OR(I54="MET",I54="NOT APPLICABLE",I54="NOT ASSESSED"),0,IF(AND(K54="Yes",J54="PARTIALLY IMPLEMENTED"),3,L54))</f>
        <v/>
      </c>
      <c r="O54" s="15" t="inlineStr">
        <is>
          <t>Not Started</t>
        </is>
      </c>
      <c r="P54" s="15" t="inlineStr"/>
      <c r="Q54" s="15" t="inlineStr"/>
      <c r="R54" s="15" t="inlineStr"/>
      <c r="S54" s="16">
        <f>IF(I54="NOT MET","Yes","No")</f>
        <v/>
      </c>
      <c r="T54" s="16" t="inlineStr"/>
      <c r="U54" s="16" t="inlineStr">
        <is>
          <t>32 CFR 170.24(c)(2) | Current eCFR</t>
        </is>
      </c>
      <c r="V54" s="16">
        <f>IF(I54="MET","Requirement assessed MET; no deduction.",IF(I54="NOT APPLICABLE","Requirement assessed NOT APPLICABLE; no deduction.",IF(I54="NOT ASSESSED","Requirement not assessed; score remains provisional.",IF(M54="Yes","Partial-credit condition applied; 3 points deducted.","Requirement assessed NOT MET; "&amp;L54&amp;" points deducted."))))</f>
        <v/>
      </c>
    </row>
    <row r="55">
      <c r="A55" s="14" t="inlineStr">
        <is>
          <t>IA</t>
        </is>
      </c>
      <c r="B55" s="14" t="inlineStr">
        <is>
          <t>IA.L2-3.5.7</t>
        </is>
      </c>
      <c r="C55" s="14" t="inlineStr">
        <is>
          <t>Password Complexity</t>
        </is>
      </c>
      <c r="D55" s="14" t="inlineStr">
        <is>
          <t>Enforce a minimum password complexity and change of characters when new passwords are created.</t>
        </is>
      </c>
      <c r="E55" s="14" t="n">
        <v>134</v>
      </c>
      <c r="F55" s="14" t="n">
        <v>135</v>
      </c>
      <c r="G55" s="15" t="inlineStr">
        <is>
          <t>Yes</t>
        </is>
      </c>
      <c r="H55" s="16" t="inlineStr">
        <is>
          <t>ONE_POINT</t>
        </is>
      </c>
      <c r="I55" s="15" t="inlineStr">
        <is>
          <t>NOT ASSESSED</t>
        </is>
      </c>
      <c r="J55" s="16" t="inlineStr"/>
      <c r="K55" s="16" t="inlineStr">
        <is>
          <t>No</t>
        </is>
      </c>
      <c r="L55" s="16" t="n">
        <v>1</v>
      </c>
      <c r="M55" s="16">
        <f>IF(AND(K55="Yes",I55="NOT MET",J55="PARTIALLY IMPLEMENTED"),"Yes","No")</f>
        <v/>
      </c>
      <c r="N55" s="16">
        <f>IF(OR(I55="MET",I55="NOT APPLICABLE",I55="NOT ASSESSED"),0,IF(AND(K55="Yes",J55="PARTIALLY IMPLEMENTED"),3,L55))</f>
        <v/>
      </c>
      <c r="O55" s="15" t="inlineStr">
        <is>
          <t>Not Started</t>
        </is>
      </c>
      <c r="P55" s="15" t="inlineStr"/>
      <c r="Q55" s="15" t="inlineStr"/>
      <c r="R55" s="15" t="inlineStr"/>
      <c r="S55" s="16">
        <f>IF(I55="NOT MET","Yes","No")</f>
        <v/>
      </c>
      <c r="T55" s="16" t="inlineStr"/>
      <c r="U55" s="16" t="inlineStr">
        <is>
          <t>32 CFR 170.24(c)(2) | Current eCFR</t>
        </is>
      </c>
      <c r="V55" s="16">
        <f>IF(I55="MET","Requirement assessed MET; no deduction.",IF(I55="NOT APPLICABLE","Requirement assessed NOT APPLICABLE; no deduction.",IF(I55="NOT ASSESSED","Requirement not assessed; score remains provisional.",IF(M55="Yes","Partial-credit condition applied; 3 points deducted.","Requirement assessed NOT MET; "&amp;L55&amp;" points deducted."))))</f>
        <v/>
      </c>
    </row>
    <row r="56">
      <c r="A56" s="14" t="inlineStr">
        <is>
          <t>IA</t>
        </is>
      </c>
      <c r="B56" s="14" t="inlineStr">
        <is>
          <t>IA.L2-3.5.8</t>
        </is>
      </c>
      <c r="C56" s="14" t="inlineStr">
        <is>
          <t>Password Reuse</t>
        </is>
      </c>
      <c r="D56" s="14" t="inlineStr">
        <is>
          <t>Prohibit password reuse for a specified number of generations.</t>
        </is>
      </c>
      <c r="E56" s="14" t="n">
        <v>136</v>
      </c>
      <c r="F56" s="14" t="n">
        <v>137</v>
      </c>
      <c r="G56" s="15" t="inlineStr">
        <is>
          <t>Yes</t>
        </is>
      </c>
      <c r="H56" s="16" t="inlineStr">
        <is>
          <t>ONE_POINT</t>
        </is>
      </c>
      <c r="I56" s="15" t="inlineStr">
        <is>
          <t>NOT ASSESSED</t>
        </is>
      </c>
      <c r="J56" s="16" t="inlineStr"/>
      <c r="K56" s="16" t="inlineStr">
        <is>
          <t>No</t>
        </is>
      </c>
      <c r="L56" s="16" t="n">
        <v>1</v>
      </c>
      <c r="M56" s="16">
        <f>IF(AND(K56="Yes",I56="NOT MET",J56="PARTIALLY IMPLEMENTED"),"Yes","No")</f>
        <v/>
      </c>
      <c r="N56" s="16">
        <f>IF(OR(I56="MET",I56="NOT APPLICABLE",I56="NOT ASSESSED"),0,IF(AND(K56="Yes",J56="PARTIALLY IMPLEMENTED"),3,L56))</f>
        <v/>
      </c>
      <c r="O56" s="15" t="inlineStr">
        <is>
          <t>Not Started</t>
        </is>
      </c>
      <c r="P56" s="15" t="inlineStr"/>
      <c r="Q56" s="15" t="inlineStr"/>
      <c r="R56" s="15" t="inlineStr"/>
      <c r="S56" s="16">
        <f>IF(I56="NOT MET","Yes","No")</f>
        <v/>
      </c>
      <c r="T56" s="16" t="inlineStr"/>
      <c r="U56" s="16" t="inlineStr">
        <is>
          <t>32 CFR 170.24(c)(2) | Current eCFR</t>
        </is>
      </c>
      <c r="V56" s="16">
        <f>IF(I56="MET","Requirement assessed MET; no deduction.",IF(I56="NOT APPLICABLE","Requirement assessed NOT APPLICABLE; no deduction.",IF(I56="NOT ASSESSED","Requirement not assessed; score remains provisional.",IF(M56="Yes","Partial-credit condition applied; 3 points deducted.","Requirement assessed NOT MET; "&amp;L56&amp;" points deducted."))))</f>
        <v/>
      </c>
    </row>
    <row r="57">
      <c r="A57" s="14" t="inlineStr">
        <is>
          <t>IA</t>
        </is>
      </c>
      <c r="B57" s="14" t="inlineStr">
        <is>
          <t>IA.L2-3.5.9</t>
        </is>
      </c>
      <c r="C57" s="14" t="inlineStr">
        <is>
          <t>Temporary Passwords</t>
        </is>
      </c>
      <c r="D57" s="14" t="inlineStr">
        <is>
          <t>Allow temporary password use for system logons with an immediate change to a permanent password.</t>
        </is>
      </c>
      <c r="E57" s="14" t="n">
        <v>138</v>
      </c>
      <c r="F57" s="14" t="n">
        <v>139</v>
      </c>
      <c r="G57" s="15" t="inlineStr">
        <is>
          <t>Yes</t>
        </is>
      </c>
      <c r="H57" s="16" t="inlineStr">
        <is>
          <t>ONE_POINT</t>
        </is>
      </c>
      <c r="I57" s="15" t="inlineStr">
        <is>
          <t>NOT ASSESSED</t>
        </is>
      </c>
      <c r="J57" s="16" t="inlineStr"/>
      <c r="K57" s="16" t="inlineStr">
        <is>
          <t>No</t>
        </is>
      </c>
      <c r="L57" s="16" t="n">
        <v>1</v>
      </c>
      <c r="M57" s="16">
        <f>IF(AND(K57="Yes",I57="NOT MET",J57="PARTIALLY IMPLEMENTED"),"Yes","No")</f>
        <v/>
      </c>
      <c r="N57" s="16">
        <f>IF(OR(I57="MET",I57="NOT APPLICABLE",I57="NOT ASSESSED"),0,IF(AND(K57="Yes",J57="PARTIALLY IMPLEMENTED"),3,L57))</f>
        <v/>
      </c>
      <c r="O57" s="15" t="inlineStr">
        <is>
          <t>Not Started</t>
        </is>
      </c>
      <c r="P57" s="15" t="inlineStr"/>
      <c r="Q57" s="15" t="inlineStr"/>
      <c r="R57" s="15" t="inlineStr"/>
      <c r="S57" s="16">
        <f>IF(I57="NOT MET","Yes","No")</f>
        <v/>
      </c>
      <c r="T57" s="16" t="inlineStr"/>
      <c r="U57" s="16" t="inlineStr">
        <is>
          <t>32 CFR 170.24(c)(2) | Current eCFR</t>
        </is>
      </c>
      <c r="V57" s="16">
        <f>IF(I57="MET","Requirement assessed MET; no deduction.",IF(I57="NOT APPLICABLE","Requirement assessed NOT APPLICABLE; no deduction.",IF(I57="NOT ASSESSED","Requirement not assessed; score remains provisional.",IF(M57="Yes","Partial-credit condition applied; 3 points deducted.","Requirement assessed NOT MET; "&amp;L57&amp;" points deducted."))))</f>
        <v/>
      </c>
    </row>
    <row r="58">
      <c r="A58" s="14" t="inlineStr">
        <is>
          <t>IA</t>
        </is>
      </c>
      <c r="B58" s="14" t="inlineStr">
        <is>
          <t>IA.L2-3.5.10</t>
        </is>
      </c>
      <c r="C58" s="14" t="inlineStr">
        <is>
          <t>Cryptographically-Protected Passwords</t>
        </is>
      </c>
      <c r="D58" s="14" t="inlineStr">
        <is>
          <t>Store and transmit only cryptographically-protected passwords.</t>
        </is>
      </c>
      <c r="E58" s="14" t="n">
        <v>140</v>
      </c>
      <c r="F58" s="14" t="n">
        <v>141</v>
      </c>
      <c r="G58" s="15" t="inlineStr">
        <is>
          <t>Yes</t>
        </is>
      </c>
      <c r="H58" s="16" t="inlineStr">
        <is>
          <t>FIVE_POINT</t>
        </is>
      </c>
      <c r="I58" s="15" t="inlineStr">
        <is>
          <t>NOT ASSESSED</t>
        </is>
      </c>
      <c r="J58" s="16" t="inlineStr"/>
      <c r="K58" s="16" t="inlineStr">
        <is>
          <t>No</t>
        </is>
      </c>
      <c r="L58" s="16" t="n">
        <v>5</v>
      </c>
      <c r="M58" s="16">
        <f>IF(AND(K58="Yes",I58="NOT MET",J58="PARTIALLY IMPLEMENTED"),"Yes","No")</f>
        <v/>
      </c>
      <c r="N58" s="16">
        <f>IF(OR(I58="MET",I58="NOT APPLICABLE",I58="NOT ASSESSED"),0,IF(AND(K58="Yes",J58="PARTIALLY IMPLEMENTED"),3,L58))</f>
        <v/>
      </c>
      <c r="O58" s="15" t="inlineStr">
        <is>
          <t>Not Started</t>
        </is>
      </c>
      <c r="P58" s="15" t="inlineStr"/>
      <c r="Q58" s="15" t="inlineStr"/>
      <c r="R58" s="15" t="inlineStr"/>
      <c r="S58" s="16">
        <f>IF(I58="NOT MET","Yes","No")</f>
        <v/>
      </c>
      <c r="T58" s="16" t="inlineStr"/>
      <c r="U58" s="16" t="inlineStr">
        <is>
          <t>32 CFR 170.24(c)(2) | Current eCFR</t>
        </is>
      </c>
      <c r="V58" s="16">
        <f>IF(I58="MET","Requirement assessed MET; no deduction.",IF(I58="NOT APPLICABLE","Requirement assessed NOT APPLICABLE; no deduction.",IF(I58="NOT ASSESSED","Requirement not assessed; score remains provisional.",IF(M58="Yes","Partial-credit condition applied; 3 points deducted.","Requirement assessed NOT MET; "&amp;L58&amp;" points deducted."))))</f>
        <v/>
      </c>
    </row>
    <row r="59">
      <c r="A59" s="14" t="inlineStr">
        <is>
          <t>IA</t>
        </is>
      </c>
      <c r="B59" s="14" t="inlineStr">
        <is>
          <t>IA.L2-3.5.11</t>
        </is>
      </c>
      <c r="C59" s="14" t="inlineStr">
        <is>
          <t>Obscure Feedback</t>
        </is>
      </c>
      <c r="D59" s="14" t="inlineStr">
        <is>
          <t>Obscure feedback of authentication information.</t>
        </is>
      </c>
      <c r="E59" s="14" t="n">
        <v>142</v>
      </c>
      <c r="F59" s="14" t="n">
        <v>143</v>
      </c>
      <c r="G59" s="15" t="inlineStr">
        <is>
          <t>Yes</t>
        </is>
      </c>
      <c r="H59" s="16" t="inlineStr">
        <is>
          <t>ONE_POINT</t>
        </is>
      </c>
      <c r="I59" s="15" t="inlineStr">
        <is>
          <t>NOT ASSESSED</t>
        </is>
      </c>
      <c r="J59" s="16" t="inlineStr"/>
      <c r="K59" s="16" t="inlineStr">
        <is>
          <t>No</t>
        </is>
      </c>
      <c r="L59" s="16" t="n">
        <v>1</v>
      </c>
      <c r="M59" s="16">
        <f>IF(AND(K59="Yes",I59="NOT MET",J59="PARTIALLY IMPLEMENTED"),"Yes","No")</f>
        <v/>
      </c>
      <c r="N59" s="16">
        <f>IF(OR(I59="MET",I59="NOT APPLICABLE",I59="NOT ASSESSED"),0,IF(AND(K59="Yes",J59="PARTIALLY IMPLEMENTED"),3,L59))</f>
        <v/>
      </c>
      <c r="O59" s="15" t="inlineStr">
        <is>
          <t>Not Started</t>
        </is>
      </c>
      <c r="P59" s="15" t="inlineStr"/>
      <c r="Q59" s="15" t="inlineStr"/>
      <c r="R59" s="15" t="inlineStr"/>
      <c r="S59" s="16">
        <f>IF(I59="NOT MET","Yes","No")</f>
        <v/>
      </c>
      <c r="T59" s="16" t="inlineStr"/>
      <c r="U59" s="16" t="inlineStr">
        <is>
          <t>32 CFR 170.24(c)(2) | Current eCFR</t>
        </is>
      </c>
      <c r="V59" s="16">
        <f>IF(I59="MET","Requirement assessed MET; no deduction.",IF(I59="NOT APPLICABLE","Requirement assessed NOT APPLICABLE; no deduction.",IF(I59="NOT ASSESSED","Requirement not assessed; score remains provisional.",IF(M59="Yes","Partial-credit condition applied; 3 points deducted.","Requirement assessed NOT MET; "&amp;L59&amp;" points deducted."))))</f>
        <v/>
      </c>
    </row>
    <row r="60">
      <c r="A60" s="14" t="inlineStr">
        <is>
          <t>IR</t>
        </is>
      </c>
      <c r="B60" s="14" t="inlineStr">
        <is>
          <t>IR.L2-3.6.1</t>
        </is>
      </c>
      <c r="C60" s="14" t="inlineStr">
        <is>
          <t>Incident Handling</t>
        </is>
      </c>
      <c r="D60" s="14" t="inlineStr">
        <is>
          <t>Establish an operational incident-handling capability for organizational systems that includes preparation, detection, analysis, containment, recovery, and user response activities.</t>
        </is>
      </c>
      <c r="E60" s="14" t="n">
        <v>144</v>
      </c>
      <c r="F60" s="14" t="n">
        <v>146</v>
      </c>
      <c r="G60" s="15" t="inlineStr">
        <is>
          <t>Yes</t>
        </is>
      </c>
      <c r="H60" s="16" t="inlineStr">
        <is>
          <t>FIVE_POINT</t>
        </is>
      </c>
      <c r="I60" s="15" t="inlineStr">
        <is>
          <t>NOT ASSESSED</t>
        </is>
      </c>
      <c r="J60" s="16" t="inlineStr"/>
      <c r="K60" s="16" t="inlineStr">
        <is>
          <t>No</t>
        </is>
      </c>
      <c r="L60" s="16" t="n">
        <v>5</v>
      </c>
      <c r="M60" s="16">
        <f>IF(AND(K60="Yes",I60="NOT MET",J60="PARTIALLY IMPLEMENTED"),"Yes","No")</f>
        <v/>
      </c>
      <c r="N60" s="16">
        <f>IF(OR(I60="MET",I60="NOT APPLICABLE",I60="NOT ASSESSED"),0,IF(AND(K60="Yes",J60="PARTIALLY IMPLEMENTED"),3,L60))</f>
        <v/>
      </c>
      <c r="O60" s="15" t="inlineStr">
        <is>
          <t>Not Started</t>
        </is>
      </c>
      <c r="P60" s="15" t="inlineStr"/>
      <c r="Q60" s="15" t="inlineStr"/>
      <c r="R60" s="15" t="inlineStr"/>
      <c r="S60" s="16">
        <f>IF(I60="NOT MET","Yes","No")</f>
        <v/>
      </c>
      <c r="T60" s="16" t="inlineStr"/>
      <c r="U60" s="16" t="inlineStr">
        <is>
          <t>32 CFR 170.24(c)(2) | Current eCFR</t>
        </is>
      </c>
      <c r="V60" s="16">
        <f>IF(I60="MET","Requirement assessed MET; no deduction.",IF(I60="NOT APPLICABLE","Requirement assessed NOT APPLICABLE; no deduction.",IF(I60="NOT ASSESSED","Requirement not assessed; score remains provisional.",IF(M60="Yes","Partial-credit condition applied; 3 points deducted.","Requirement assessed NOT MET; "&amp;L60&amp;" points deducted."))))</f>
        <v/>
      </c>
    </row>
    <row r="61">
      <c r="A61" s="14" t="inlineStr">
        <is>
          <t>IR</t>
        </is>
      </c>
      <c r="B61" s="14" t="inlineStr">
        <is>
          <t>IR.L2-3.6.2</t>
        </is>
      </c>
      <c r="C61" s="14" t="inlineStr">
        <is>
          <t>Incident Reporting</t>
        </is>
      </c>
      <c r="D61" s="14" t="inlineStr">
        <is>
          <t>Track, document, and report incidents to designated officials and/or authorities both internal and external to the organization.</t>
        </is>
      </c>
      <c r="E61" s="14" t="n">
        <v>147</v>
      </c>
      <c r="F61" s="14" t="n">
        <v>149</v>
      </c>
      <c r="G61" s="15" t="inlineStr">
        <is>
          <t>Yes</t>
        </is>
      </c>
      <c r="H61" s="16" t="inlineStr">
        <is>
          <t>FIVE_POINT</t>
        </is>
      </c>
      <c r="I61" s="15" t="inlineStr">
        <is>
          <t>NOT ASSESSED</t>
        </is>
      </c>
      <c r="J61" s="16" t="inlineStr"/>
      <c r="K61" s="16" t="inlineStr">
        <is>
          <t>No</t>
        </is>
      </c>
      <c r="L61" s="16" t="n">
        <v>5</v>
      </c>
      <c r="M61" s="16">
        <f>IF(AND(K61="Yes",I61="NOT MET",J61="PARTIALLY IMPLEMENTED"),"Yes","No")</f>
        <v/>
      </c>
      <c r="N61" s="16">
        <f>IF(OR(I61="MET",I61="NOT APPLICABLE",I61="NOT ASSESSED"),0,IF(AND(K61="Yes",J61="PARTIALLY IMPLEMENTED"),3,L61))</f>
        <v/>
      </c>
      <c r="O61" s="15" t="inlineStr">
        <is>
          <t>Not Started</t>
        </is>
      </c>
      <c r="P61" s="15" t="inlineStr"/>
      <c r="Q61" s="15" t="inlineStr"/>
      <c r="R61" s="15" t="inlineStr"/>
      <c r="S61" s="16">
        <f>IF(I61="NOT MET","Yes","No")</f>
        <v/>
      </c>
      <c r="T61" s="16" t="inlineStr"/>
      <c r="U61" s="16" t="inlineStr">
        <is>
          <t>32 CFR 170.24(c)(2) | Current eCFR</t>
        </is>
      </c>
      <c r="V61" s="16">
        <f>IF(I61="MET","Requirement assessed MET; no deduction.",IF(I61="NOT APPLICABLE","Requirement assessed NOT APPLICABLE; no deduction.",IF(I61="NOT ASSESSED","Requirement not assessed; score remains provisional.",IF(M61="Yes","Partial-credit condition applied; 3 points deducted.","Requirement assessed NOT MET; "&amp;L61&amp;" points deducted."))))</f>
        <v/>
      </c>
    </row>
    <row r="62">
      <c r="A62" s="14" t="inlineStr">
        <is>
          <t>IR</t>
        </is>
      </c>
      <c r="B62" s="14" t="inlineStr">
        <is>
          <t>IR.L2-3.6.3</t>
        </is>
      </c>
      <c r="C62" s="14" t="inlineStr">
        <is>
          <t>Incident Response Testing</t>
        </is>
      </c>
      <c r="D62" s="14" t="inlineStr">
        <is>
          <t>Test the organizational incident response capability.</t>
        </is>
      </c>
      <c r="E62" s="14" t="n">
        <v>150</v>
      </c>
      <c r="F62" s="14" t="n">
        <v>151</v>
      </c>
      <c r="G62" s="15" t="inlineStr">
        <is>
          <t>Yes</t>
        </is>
      </c>
      <c r="H62" s="16" t="inlineStr">
        <is>
          <t>ONE_POINT</t>
        </is>
      </c>
      <c r="I62" s="15" t="inlineStr">
        <is>
          <t>NOT ASSESSED</t>
        </is>
      </c>
      <c r="J62" s="16" t="inlineStr"/>
      <c r="K62" s="16" t="inlineStr">
        <is>
          <t>No</t>
        </is>
      </c>
      <c r="L62" s="16" t="n">
        <v>1</v>
      </c>
      <c r="M62" s="16">
        <f>IF(AND(K62="Yes",I62="NOT MET",J62="PARTIALLY IMPLEMENTED"),"Yes","No")</f>
        <v/>
      </c>
      <c r="N62" s="16">
        <f>IF(OR(I62="MET",I62="NOT APPLICABLE",I62="NOT ASSESSED"),0,IF(AND(K62="Yes",J62="PARTIALLY IMPLEMENTED"),3,L62))</f>
        <v/>
      </c>
      <c r="O62" s="15" t="inlineStr">
        <is>
          <t>Not Started</t>
        </is>
      </c>
      <c r="P62" s="15" t="inlineStr"/>
      <c r="Q62" s="15" t="inlineStr"/>
      <c r="R62" s="15" t="inlineStr"/>
      <c r="S62" s="16">
        <f>IF(I62="NOT MET","Yes","No")</f>
        <v/>
      </c>
      <c r="T62" s="16" t="inlineStr"/>
      <c r="U62" s="16" t="inlineStr">
        <is>
          <t>32 CFR 170.24(c)(2) | Current eCFR</t>
        </is>
      </c>
      <c r="V62" s="16">
        <f>IF(I62="MET","Requirement assessed MET; no deduction.",IF(I62="NOT APPLICABLE","Requirement assessed NOT APPLICABLE; no deduction.",IF(I62="NOT ASSESSED","Requirement not assessed; score remains provisional.",IF(M62="Yes","Partial-credit condition applied; 3 points deducted.","Requirement assessed NOT MET; "&amp;L62&amp;" points deducted."))))</f>
        <v/>
      </c>
    </row>
    <row r="63">
      <c r="A63" s="14" t="inlineStr">
        <is>
          <t>MA</t>
        </is>
      </c>
      <c r="B63" s="14" t="inlineStr">
        <is>
          <t>MA.L2-3.7.1</t>
        </is>
      </c>
      <c r="C63" s="14" t="inlineStr">
        <is>
          <t>Perform Maintenance</t>
        </is>
      </c>
      <c r="D63" s="14" t="inlineStr">
        <is>
          <t>Perform maintenance on organizational systems.</t>
        </is>
      </c>
      <c r="E63" s="14" t="n">
        <v>152</v>
      </c>
      <c r="F63" s="14" t="n">
        <v>153</v>
      </c>
      <c r="G63" s="15" t="inlineStr">
        <is>
          <t>Yes</t>
        </is>
      </c>
      <c r="H63" s="16" t="inlineStr">
        <is>
          <t>THREE_POINT</t>
        </is>
      </c>
      <c r="I63" s="15" t="inlineStr">
        <is>
          <t>NOT ASSESSED</t>
        </is>
      </c>
      <c r="J63" s="16" t="inlineStr"/>
      <c r="K63" s="16" t="inlineStr">
        <is>
          <t>No</t>
        </is>
      </c>
      <c r="L63" s="16" t="n">
        <v>3</v>
      </c>
      <c r="M63" s="16">
        <f>IF(AND(K63="Yes",I63="NOT MET",J63="PARTIALLY IMPLEMENTED"),"Yes","No")</f>
        <v/>
      </c>
      <c r="N63" s="16">
        <f>IF(OR(I63="MET",I63="NOT APPLICABLE",I63="NOT ASSESSED"),0,IF(AND(K63="Yes",J63="PARTIALLY IMPLEMENTED"),3,L63))</f>
        <v/>
      </c>
      <c r="O63" s="15" t="inlineStr">
        <is>
          <t>Not Started</t>
        </is>
      </c>
      <c r="P63" s="15" t="inlineStr"/>
      <c r="Q63" s="15" t="inlineStr"/>
      <c r="R63" s="15" t="inlineStr"/>
      <c r="S63" s="16">
        <f>IF(I63="NOT MET","Yes","No")</f>
        <v/>
      </c>
      <c r="T63" s="16" t="inlineStr"/>
      <c r="U63" s="16" t="inlineStr">
        <is>
          <t>32 CFR 170.24(c)(2) | Current eCFR</t>
        </is>
      </c>
      <c r="V63" s="16">
        <f>IF(I63="MET","Requirement assessed MET; no deduction.",IF(I63="NOT APPLICABLE","Requirement assessed NOT APPLICABLE; no deduction.",IF(I63="NOT ASSESSED","Requirement not assessed; score remains provisional.",IF(M63="Yes","Partial-credit condition applied; 3 points deducted.","Requirement assessed NOT MET; "&amp;L63&amp;" points deducted."))))</f>
        <v/>
      </c>
    </row>
    <row r="64">
      <c r="A64" s="14" t="inlineStr">
        <is>
          <t>MA</t>
        </is>
      </c>
      <c r="B64" s="14" t="inlineStr">
        <is>
          <t>MA.L2-3.7.2</t>
        </is>
      </c>
      <c r="C64" s="14" t="inlineStr">
        <is>
          <t>System Maintenance Control</t>
        </is>
      </c>
      <c r="D64" s="14" t="inlineStr">
        <is>
          <t>Provide controls on the tools, techniques, mechanisms, and personnel used to conduct system maintenance.</t>
        </is>
      </c>
      <c r="E64" s="14" t="n">
        <v>154</v>
      </c>
      <c r="F64" s="14" t="n">
        <v>155</v>
      </c>
      <c r="G64" s="15" t="inlineStr">
        <is>
          <t>Yes</t>
        </is>
      </c>
      <c r="H64" s="16" t="inlineStr">
        <is>
          <t>FIVE_POINT</t>
        </is>
      </c>
      <c r="I64" s="15" t="inlineStr">
        <is>
          <t>NOT ASSESSED</t>
        </is>
      </c>
      <c r="J64" s="16" t="inlineStr"/>
      <c r="K64" s="16" t="inlineStr">
        <is>
          <t>No</t>
        </is>
      </c>
      <c r="L64" s="16" t="n">
        <v>5</v>
      </c>
      <c r="M64" s="16">
        <f>IF(AND(K64="Yes",I64="NOT MET",J64="PARTIALLY IMPLEMENTED"),"Yes","No")</f>
        <v/>
      </c>
      <c r="N64" s="16">
        <f>IF(OR(I64="MET",I64="NOT APPLICABLE",I64="NOT ASSESSED"),0,IF(AND(K64="Yes",J64="PARTIALLY IMPLEMENTED"),3,L64))</f>
        <v/>
      </c>
      <c r="O64" s="15" t="inlineStr">
        <is>
          <t>Not Started</t>
        </is>
      </c>
      <c r="P64" s="15" t="inlineStr"/>
      <c r="Q64" s="15" t="inlineStr"/>
      <c r="R64" s="15" t="inlineStr"/>
      <c r="S64" s="16">
        <f>IF(I64="NOT MET","Yes","No")</f>
        <v/>
      </c>
      <c r="T64" s="16" t="inlineStr"/>
      <c r="U64" s="16" t="inlineStr">
        <is>
          <t>32 CFR 170.24(c)(2) | Current eCFR</t>
        </is>
      </c>
      <c r="V64" s="16">
        <f>IF(I64="MET","Requirement assessed MET; no deduction.",IF(I64="NOT APPLICABLE","Requirement assessed NOT APPLICABLE; no deduction.",IF(I64="NOT ASSESSED","Requirement not assessed; score remains provisional.",IF(M64="Yes","Partial-credit condition applied; 3 points deducted.","Requirement assessed NOT MET; "&amp;L64&amp;" points deducted."))))</f>
        <v/>
      </c>
    </row>
    <row r="65">
      <c r="A65" s="14" t="inlineStr">
        <is>
          <t>MA</t>
        </is>
      </c>
      <c r="B65" s="14" t="inlineStr">
        <is>
          <t>MA.L2-3.7.3</t>
        </is>
      </c>
      <c r="C65" s="14" t="inlineStr">
        <is>
          <t>Equipment Sanitization</t>
        </is>
      </c>
      <c r="D65" s="14" t="inlineStr">
        <is>
          <t>Ensure equipment removed for off-site maintenance is sanitized of any CUI.</t>
        </is>
      </c>
      <c r="E65" s="14" t="n">
        <v>156</v>
      </c>
      <c r="F65" s="14" t="n">
        <v>157</v>
      </c>
      <c r="G65" s="15" t="inlineStr">
        <is>
          <t>Yes</t>
        </is>
      </c>
      <c r="H65" s="16" t="inlineStr">
        <is>
          <t>ONE_POINT</t>
        </is>
      </c>
      <c r="I65" s="15" t="inlineStr">
        <is>
          <t>NOT ASSESSED</t>
        </is>
      </c>
      <c r="J65" s="16" t="inlineStr"/>
      <c r="K65" s="16" t="inlineStr">
        <is>
          <t>No</t>
        </is>
      </c>
      <c r="L65" s="16" t="n">
        <v>1</v>
      </c>
      <c r="M65" s="16">
        <f>IF(AND(K65="Yes",I65="NOT MET",J65="PARTIALLY IMPLEMENTED"),"Yes","No")</f>
        <v/>
      </c>
      <c r="N65" s="16">
        <f>IF(OR(I65="MET",I65="NOT APPLICABLE",I65="NOT ASSESSED"),0,IF(AND(K65="Yes",J65="PARTIALLY IMPLEMENTED"),3,L65))</f>
        <v/>
      </c>
      <c r="O65" s="15" t="inlineStr">
        <is>
          <t>Not Started</t>
        </is>
      </c>
      <c r="P65" s="15" t="inlineStr"/>
      <c r="Q65" s="15" t="inlineStr"/>
      <c r="R65" s="15" t="inlineStr"/>
      <c r="S65" s="16">
        <f>IF(I65="NOT MET","Yes","No")</f>
        <v/>
      </c>
      <c r="T65" s="16" t="inlineStr"/>
      <c r="U65" s="16" t="inlineStr">
        <is>
          <t>32 CFR 170.24(c)(2) | Current eCFR</t>
        </is>
      </c>
      <c r="V65" s="16">
        <f>IF(I65="MET","Requirement assessed MET; no deduction.",IF(I65="NOT APPLICABLE","Requirement assessed NOT APPLICABLE; no deduction.",IF(I65="NOT ASSESSED","Requirement not assessed; score remains provisional.",IF(M65="Yes","Partial-credit condition applied; 3 points deducted.","Requirement assessed NOT MET; "&amp;L65&amp;" points deducted."))))</f>
        <v/>
      </c>
    </row>
    <row r="66">
      <c r="A66" s="14" t="inlineStr">
        <is>
          <t>MA</t>
        </is>
      </c>
      <c r="B66" s="14" t="inlineStr">
        <is>
          <t>MA.L2-3.7.4</t>
        </is>
      </c>
      <c r="C66" s="14" t="inlineStr">
        <is>
          <t>Media Inspection</t>
        </is>
      </c>
      <c r="D66" s="14" t="inlineStr">
        <is>
          <t>Check media containing diagnostic and test programs for malicious code before the media are used in organizational systems.</t>
        </is>
      </c>
      <c r="E66" s="14" t="n">
        <v>158</v>
      </c>
      <c r="F66" s="14" t="n">
        <v>159</v>
      </c>
      <c r="G66" s="15" t="inlineStr">
        <is>
          <t>Yes</t>
        </is>
      </c>
      <c r="H66" s="16" t="inlineStr">
        <is>
          <t>THREE_POINT</t>
        </is>
      </c>
      <c r="I66" s="15" t="inlineStr">
        <is>
          <t>NOT ASSESSED</t>
        </is>
      </c>
      <c r="J66" s="16" t="inlineStr"/>
      <c r="K66" s="16" t="inlineStr">
        <is>
          <t>No</t>
        </is>
      </c>
      <c r="L66" s="16" t="n">
        <v>3</v>
      </c>
      <c r="M66" s="16">
        <f>IF(AND(K66="Yes",I66="NOT MET",J66="PARTIALLY IMPLEMENTED"),"Yes","No")</f>
        <v/>
      </c>
      <c r="N66" s="16">
        <f>IF(OR(I66="MET",I66="NOT APPLICABLE",I66="NOT ASSESSED"),0,IF(AND(K66="Yes",J66="PARTIALLY IMPLEMENTED"),3,L66))</f>
        <v/>
      </c>
      <c r="O66" s="15" t="inlineStr">
        <is>
          <t>Not Started</t>
        </is>
      </c>
      <c r="P66" s="15" t="inlineStr"/>
      <c r="Q66" s="15" t="inlineStr"/>
      <c r="R66" s="15" t="inlineStr"/>
      <c r="S66" s="16">
        <f>IF(I66="NOT MET","Yes","No")</f>
        <v/>
      </c>
      <c r="T66" s="16" t="inlineStr"/>
      <c r="U66" s="16" t="inlineStr">
        <is>
          <t>32 CFR 170.24(c)(2) | Current eCFR</t>
        </is>
      </c>
      <c r="V66" s="16">
        <f>IF(I66="MET","Requirement assessed MET; no deduction.",IF(I66="NOT APPLICABLE","Requirement assessed NOT APPLICABLE; no deduction.",IF(I66="NOT ASSESSED","Requirement not assessed; score remains provisional.",IF(M66="Yes","Partial-credit condition applied; 3 points deducted.","Requirement assessed NOT MET; "&amp;L66&amp;" points deducted."))))</f>
        <v/>
      </c>
    </row>
    <row r="67">
      <c r="A67" s="14" t="inlineStr">
        <is>
          <t>MA</t>
        </is>
      </c>
      <c r="B67" s="14" t="inlineStr">
        <is>
          <t>MA.L2-3.7.5</t>
        </is>
      </c>
      <c r="C67" s="14" t="inlineStr">
        <is>
          <t>Nonlocal Maintenance</t>
        </is>
      </c>
      <c r="D67" s="14" t="inlineStr">
        <is>
          <t>Require multifactor authentication to establish nonlocal maintenance sessions via external network connections and terminate such connections when nonlocal maintenance is complete.</t>
        </is>
      </c>
      <c r="E67" s="14" t="n">
        <v>160</v>
      </c>
      <c r="F67" s="14" t="n">
        <v>162</v>
      </c>
      <c r="G67" s="15" t="inlineStr">
        <is>
          <t>Yes</t>
        </is>
      </c>
      <c r="H67" s="16" t="inlineStr">
        <is>
          <t>FIVE_POINT</t>
        </is>
      </c>
      <c r="I67" s="15" t="inlineStr">
        <is>
          <t>NOT ASSESSED</t>
        </is>
      </c>
      <c r="J67" s="16" t="inlineStr"/>
      <c r="K67" s="16" t="inlineStr">
        <is>
          <t>No</t>
        </is>
      </c>
      <c r="L67" s="16" t="n">
        <v>5</v>
      </c>
      <c r="M67" s="16">
        <f>IF(AND(K67="Yes",I67="NOT MET",J67="PARTIALLY IMPLEMENTED"),"Yes","No")</f>
        <v/>
      </c>
      <c r="N67" s="16">
        <f>IF(OR(I67="MET",I67="NOT APPLICABLE",I67="NOT ASSESSED"),0,IF(AND(K67="Yes",J67="PARTIALLY IMPLEMENTED"),3,L67))</f>
        <v/>
      </c>
      <c r="O67" s="15" t="inlineStr">
        <is>
          <t>Not Started</t>
        </is>
      </c>
      <c r="P67" s="15" t="inlineStr"/>
      <c r="Q67" s="15" t="inlineStr"/>
      <c r="R67" s="15" t="inlineStr"/>
      <c r="S67" s="16">
        <f>IF(I67="NOT MET","Yes","No")</f>
        <v/>
      </c>
      <c r="T67" s="16" t="inlineStr"/>
      <c r="U67" s="16" t="inlineStr">
        <is>
          <t>32 CFR 170.24(c)(2) | Current eCFR</t>
        </is>
      </c>
      <c r="V67" s="16">
        <f>IF(I67="MET","Requirement assessed MET; no deduction.",IF(I67="NOT APPLICABLE","Requirement assessed NOT APPLICABLE; no deduction.",IF(I67="NOT ASSESSED","Requirement not assessed; score remains provisional.",IF(M67="Yes","Partial-credit condition applied; 3 points deducted.","Requirement assessed NOT MET; "&amp;L67&amp;" points deducted."))))</f>
        <v/>
      </c>
    </row>
    <row r="68">
      <c r="A68" s="14" t="inlineStr">
        <is>
          <t>MA</t>
        </is>
      </c>
      <c r="B68" s="14" t="inlineStr">
        <is>
          <t>MA.L2-3.7.6</t>
        </is>
      </c>
      <c r="C68" s="14" t="inlineStr">
        <is>
          <t>Maintenance Personnel</t>
        </is>
      </c>
      <c r="D68" s="14" t="inlineStr">
        <is>
          <t>Supervise the maintenance activities of maintenance personnel without required access authorization.</t>
        </is>
      </c>
      <c r="E68" s="14" t="n">
        <v>163</v>
      </c>
      <c r="F68" s="14" t="n">
        <v>164</v>
      </c>
      <c r="G68" s="15" t="inlineStr">
        <is>
          <t>Yes</t>
        </is>
      </c>
      <c r="H68" s="16" t="inlineStr">
        <is>
          <t>ONE_POINT</t>
        </is>
      </c>
      <c r="I68" s="15" t="inlineStr">
        <is>
          <t>NOT ASSESSED</t>
        </is>
      </c>
      <c r="J68" s="16" t="inlineStr"/>
      <c r="K68" s="16" t="inlineStr">
        <is>
          <t>No</t>
        </is>
      </c>
      <c r="L68" s="16" t="n">
        <v>1</v>
      </c>
      <c r="M68" s="16">
        <f>IF(AND(K68="Yes",I68="NOT MET",J68="PARTIALLY IMPLEMENTED"),"Yes","No")</f>
        <v/>
      </c>
      <c r="N68" s="16">
        <f>IF(OR(I68="MET",I68="NOT APPLICABLE",I68="NOT ASSESSED"),0,IF(AND(K68="Yes",J68="PARTIALLY IMPLEMENTED"),3,L68))</f>
        <v/>
      </c>
      <c r="O68" s="15" t="inlineStr">
        <is>
          <t>Not Started</t>
        </is>
      </c>
      <c r="P68" s="15" t="inlineStr"/>
      <c r="Q68" s="15" t="inlineStr"/>
      <c r="R68" s="15" t="inlineStr"/>
      <c r="S68" s="16">
        <f>IF(I68="NOT MET","Yes","No")</f>
        <v/>
      </c>
      <c r="T68" s="16" t="inlineStr"/>
      <c r="U68" s="16" t="inlineStr">
        <is>
          <t>32 CFR 170.24(c)(2) | Current eCFR</t>
        </is>
      </c>
      <c r="V68" s="16">
        <f>IF(I68="MET","Requirement assessed MET; no deduction.",IF(I68="NOT APPLICABLE","Requirement assessed NOT APPLICABLE; no deduction.",IF(I68="NOT ASSESSED","Requirement not assessed; score remains provisional.",IF(M68="Yes","Partial-credit condition applied; 3 points deducted.","Requirement assessed NOT MET; "&amp;L68&amp;" points deducted."))))</f>
        <v/>
      </c>
    </row>
    <row r="69">
      <c r="A69" s="14" t="inlineStr">
        <is>
          <t>MP</t>
        </is>
      </c>
      <c r="B69" s="14" t="inlineStr">
        <is>
          <t>MP.L2-3.8.1</t>
        </is>
      </c>
      <c r="C69" s="14" t="inlineStr">
        <is>
          <t>Media Protection</t>
        </is>
      </c>
      <c r="D69" s="14" t="inlineStr">
        <is>
          <t>Protect (i.e., physically control and securely store) system media containing CUI, both paper and digital.</t>
        </is>
      </c>
      <c r="E69" s="14" t="n">
        <v>165</v>
      </c>
      <c r="F69" s="14" t="n">
        <v>166</v>
      </c>
      <c r="G69" s="15" t="inlineStr">
        <is>
          <t>Yes</t>
        </is>
      </c>
      <c r="H69" s="16" t="inlineStr">
        <is>
          <t>THREE_POINT</t>
        </is>
      </c>
      <c r="I69" s="15" t="inlineStr">
        <is>
          <t>NOT ASSESSED</t>
        </is>
      </c>
      <c r="J69" s="16" t="inlineStr"/>
      <c r="K69" s="16" t="inlineStr">
        <is>
          <t>No</t>
        </is>
      </c>
      <c r="L69" s="16" t="n">
        <v>3</v>
      </c>
      <c r="M69" s="16">
        <f>IF(AND(K69="Yes",I69="NOT MET",J69="PARTIALLY IMPLEMENTED"),"Yes","No")</f>
        <v/>
      </c>
      <c r="N69" s="16">
        <f>IF(OR(I69="MET",I69="NOT APPLICABLE",I69="NOT ASSESSED"),0,IF(AND(K69="Yes",J69="PARTIALLY IMPLEMENTED"),3,L69))</f>
        <v/>
      </c>
      <c r="O69" s="15" t="inlineStr">
        <is>
          <t>Not Started</t>
        </is>
      </c>
      <c r="P69" s="15" t="inlineStr"/>
      <c r="Q69" s="15" t="inlineStr"/>
      <c r="R69" s="15" t="inlineStr"/>
      <c r="S69" s="16">
        <f>IF(I69="NOT MET","Yes","No")</f>
        <v/>
      </c>
      <c r="T69" s="16" t="inlineStr"/>
      <c r="U69" s="16" t="inlineStr">
        <is>
          <t>32 CFR 170.24(c)(2) | Current eCFR</t>
        </is>
      </c>
      <c r="V69" s="16">
        <f>IF(I69="MET","Requirement assessed MET; no deduction.",IF(I69="NOT APPLICABLE","Requirement assessed NOT APPLICABLE; no deduction.",IF(I69="NOT ASSESSED","Requirement not assessed; score remains provisional.",IF(M69="Yes","Partial-credit condition applied; 3 points deducted.","Requirement assessed NOT MET; "&amp;L69&amp;" points deducted."))))</f>
        <v/>
      </c>
    </row>
    <row r="70">
      <c r="A70" s="14" t="inlineStr">
        <is>
          <t>MP</t>
        </is>
      </c>
      <c r="B70" s="14" t="inlineStr">
        <is>
          <t>MP.L2-3.8.2</t>
        </is>
      </c>
      <c r="C70" s="14" t="inlineStr">
        <is>
          <t>Media Access</t>
        </is>
      </c>
      <c r="D70" s="14" t="inlineStr">
        <is>
          <t>Limit access to CUI on system media to authorized users.</t>
        </is>
      </c>
      <c r="E70" s="14" t="n">
        <v>167</v>
      </c>
      <c r="F70" s="14" t="n">
        <v>168</v>
      </c>
      <c r="G70" s="15" t="inlineStr">
        <is>
          <t>Yes</t>
        </is>
      </c>
      <c r="H70" s="16" t="inlineStr">
        <is>
          <t>THREE_POINT</t>
        </is>
      </c>
      <c r="I70" s="15" t="inlineStr">
        <is>
          <t>NOT ASSESSED</t>
        </is>
      </c>
      <c r="J70" s="16" t="inlineStr"/>
      <c r="K70" s="16" t="inlineStr">
        <is>
          <t>No</t>
        </is>
      </c>
      <c r="L70" s="16" t="n">
        <v>3</v>
      </c>
      <c r="M70" s="16">
        <f>IF(AND(K70="Yes",I70="NOT MET",J70="PARTIALLY IMPLEMENTED"),"Yes","No")</f>
        <v/>
      </c>
      <c r="N70" s="16">
        <f>IF(OR(I70="MET",I70="NOT APPLICABLE",I70="NOT ASSESSED"),0,IF(AND(K70="Yes",J70="PARTIALLY IMPLEMENTED"),3,L70))</f>
        <v/>
      </c>
      <c r="O70" s="15" t="inlineStr">
        <is>
          <t>Not Started</t>
        </is>
      </c>
      <c r="P70" s="15" t="inlineStr"/>
      <c r="Q70" s="15" t="inlineStr"/>
      <c r="R70" s="15" t="inlineStr"/>
      <c r="S70" s="16">
        <f>IF(I70="NOT MET","Yes","No")</f>
        <v/>
      </c>
      <c r="T70" s="16" t="inlineStr"/>
      <c r="U70" s="16" t="inlineStr">
        <is>
          <t>32 CFR 170.24(c)(2) | Current eCFR</t>
        </is>
      </c>
      <c r="V70" s="16">
        <f>IF(I70="MET","Requirement assessed MET; no deduction.",IF(I70="NOT APPLICABLE","Requirement assessed NOT APPLICABLE; no deduction.",IF(I70="NOT ASSESSED","Requirement not assessed; score remains provisional.",IF(M70="Yes","Partial-credit condition applied; 3 points deducted.","Requirement assessed NOT MET; "&amp;L70&amp;" points deducted."))))</f>
        <v/>
      </c>
    </row>
    <row r="71">
      <c r="A71" s="14" t="inlineStr">
        <is>
          <t>MP</t>
        </is>
      </c>
      <c r="B71" s="14" t="inlineStr">
        <is>
          <t>MP.L2-3.8.3</t>
        </is>
      </c>
      <c r="C71" s="14" t="inlineStr">
        <is>
          <t>Media Disposal [CUI Data]</t>
        </is>
      </c>
      <c r="D71" s="14" t="inlineStr">
        <is>
          <t>Sanitize or destroy system media containing CUI before disposal or release for reuse.</t>
        </is>
      </c>
      <c r="E71" s="14" t="n">
        <v>169</v>
      </c>
      <c r="F71" s="14" t="n">
        <v>170</v>
      </c>
      <c r="G71" s="15" t="inlineStr">
        <is>
          <t>Yes</t>
        </is>
      </c>
      <c r="H71" s="16" t="inlineStr">
        <is>
          <t>FIVE_POINT</t>
        </is>
      </c>
      <c r="I71" s="15" t="inlineStr">
        <is>
          <t>NOT ASSESSED</t>
        </is>
      </c>
      <c r="J71" s="16" t="inlineStr"/>
      <c r="K71" s="16" t="inlineStr">
        <is>
          <t>No</t>
        </is>
      </c>
      <c r="L71" s="16" t="n">
        <v>5</v>
      </c>
      <c r="M71" s="16">
        <f>IF(AND(K71="Yes",I71="NOT MET",J71="PARTIALLY IMPLEMENTED"),"Yes","No")</f>
        <v/>
      </c>
      <c r="N71" s="16">
        <f>IF(OR(I71="MET",I71="NOT APPLICABLE",I71="NOT ASSESSED"),0,IF(AND(K71="Yes",J71="PARTIALLY IMPLEMENTED"),3,L71))</f>
        <v/>
      </c>
      <c r="O71" s="15" t="inlineStr">
        <is>
          <t>Not Started</t>
        </is>
      </c>
      <c r="P71" s="15" t="inlineStr"/>
      <c r="Q71" s="15" t="inlineStr"/>
      <c r="R71" s="15" t="inlineStr"/>
      <c r="S71" s="16">
        <f>IF(I71="NOT MET","Yes","No")</f>
        <v/>
      </c>
      <c r="T71" s="16" t="inlineStr"/>
      <c r="U71" s="16" t="inlineStr">
        <is>
          <t>32 CFR 170.24(c)(2) | Current eCFR</t>
        </is>
      </c>
      <c r="V71" s="16">
        <f>IF(I71="MET","Requirement assessed MET; no deduction.",IF(I71="NOT APPLICABLE","Requirement assessed NOT APPLICABLE; no deduction.",IF(I71="NOT ASSESSED","Requirement not assessed; score remains provisional.",IF(M71="Yes","Partial-credit condition applied; 3 points deducted.","Requirement assessed NOT MET; "&amp;L71&amp;" points deducted."))))</f>
        <v/>
      </c>
    </row>
    <row r="72">
      <c r="A72" s="14" t="inlineStr">
        <is>
          <t>MP</t>
        </is>
      </c>
      <c r="B72" s="14" t="inlineStr">
        <is>
          <t>MP.L2-3.8.4</t>
        </is>
      </c>
      <c r="C72" s="14" t="inlineStr">
        <is>
          <t>Media Markings</t>
        </is>
      </c>
      <c r="D72" s="14" t="inlineStr">
        <is>
          <t>Mark media with necessary CUI markings and distribution limitations.</t>
        </is>
      </c>
      <c r="E72" s="14" t="n">
        <v>171</v>
      </c>
      <c r="F72" s="14" t="n">
        <v>172</v>
      </c>
      <c r="G72" s="15" t="inlineStr">
        <is>
          <t>Yes</t>
        </is>
      </c>
      <c r="H72" s="16" t="inlineStr">
        <is>
          <t>ONE_POINT</t>
        </is>
      </c>
      <c r="I72" s="15" t="inlineStr">
        <is>
          <t>NOT ASSESSED</t>
        </is>
      </c>
      <c r="J72" s="16" t="inlineStr"/>
      <c r="K72" s="16" t="inlineStr">
        <is>
          <t>No</t>
        </is>
      </c>
      <c r="L72" s="16" t="n">
        <v>1</v>
      </c>
      <c r="M72" s="16">
        <f>IF(AND(K72="Yes",I72="NOT MET",J72="PARTIALLY IMPLEMENTED"),"Yes","No")</f>
        <v/>
      </c>
      <c r="N72" s="16">
        <f>IF(OR(I72="MET",I72="NOT APPLICABLE",I72="NOT ASSESSED"),0,IF(AND(K72="Yes",J72="PARTIALLY IMPLEMENTED"),3,L72))</f>
        <v/>
      </c>
      <c r="O72" s="15" t="inlineStr">
        <is>
          <t>Not Started</t>
        </is>
      </c>
      <c r="P72" s="15" t="inlineStr"/>
      <c r="Q72" s="15" t="inlineStr"/>
      <c r="R72" s="15" t="inlineStr"/>
      <c r="S72" s="16">
        <f>IF(I72="NOT MET","Yes","No")</f>
        <v/>
      </c>
      <c r="T72" s="16" t="inlineStr"/>
      <c r="U72" s="16" t="inlineStr">
        <is>
          <t>32 CFR 170.24(c)(2) | Current eCFR</t>
        </is>
      </c>
      <c r="V72" s="16">
        <f>IF(I72="MET","Requirement assessed MET; no deduction.",IF(I72="NOT APPLICABLE","Requirement assessed NOT APPLICABLE; no deduction.",IF(I72="NOT ASSESSED","Requirement not assessed; score remains provisional.",IF(M72="Yes","Partial-credit condition applied; 3 points deducted.","Requirement assessed NOT MET; "&amp;L72&amp;" points deducted."))))</f>
        <v/>
      </c>
    </row>
    <row r="73">
      <c r="A73" s="14" t="inlineStr">
        <is>
          <t>MP</t>
        </is>
      </c>
      <c r="B73" s="14" t="inlineStr">
        <is>
          <t>MP.L2-3.8.5</t>
        </is>
      </c>
      <c r="C73" s="14" t="inlineStr">
        <is>
          <t>Media Accountability</t>
        </is>
      </c>
      <c r="D73" s="14" t="inlineStr">
        <is>
          <t>Control access to media containing CUI and maintain accountability for media during transport outside of controlled areas.</t>
        </is>
      </c>
      <c r="E73" s="14" t="n">
        <v>173</v>
      </c>
      <c r="F73" s="14" t="n">
        <v>174</v>
      </c>
      <c r="G73" s="15" t="inlineStr">
        <is>
          <t>Yes</t>
        </is>
      </c>
      <c r="H73" s="16" t="inlineStr">
        <is>
          <t>ONE_POINT</t>
        </is>
      </c>
      <c r="I73" s="15" t="inlineStr">
        <is>
          <t>NOT ASSESSED</t>
        </is>
      </c>
      <c r="J73" s="16" t="inlineStr"/>
      <c r="K73" s="16" t="inlineStr">
        <is>
          <t>No</t>
        </is>
      </c>
      <c r="L73" s="16" t="n">
        <v>1</v>
      </c>
      <c r="M73" s="16">
        <f>IF(AND(K73="Yes",I73="NOT MET",J73="PARTIALLY IMPLEMENTED"),"Yes","No")</f>
        <v/>
      </c>
      <c r="N73" s="16">
        <f>IF(OR(I73="MET",I73="NOT APPLICABLE",I73="NOT ASSESSED"),0,IF(AND(K73="Yes",J73="PARTIALLY IMPLEMENTED"),3,L73))</f>
        <v/>
      </c>
      <c r="O73" s="15" t="inlineStr">
        <is>
          <t>Not Started</t>
        </is>
      </c>
      <c r="P73" s="15" t="inlineStr"/>
      <c r="Q73" s="15" t="inlineStr"/>
      <c r="R73" s="15" t="inlineStr"/>
      <c r="S73" s="16">
        <f>IF(I73="NOT MET","Yes","No")</f>
        <v/>
      </c>
      <c r="T73" s="16" t="inlineStr"/>
      <c r="U73" s="16" t="inlineStr">
        <is>
          <t>32 CFR 170.24(c)(2) | Current eCFR</t>
        </is>
      </c>
      <c r="V73" s="16">
        <f>IF(I73="MET","Requirement assessed MET; no deduction.",IF(I73="NOT APPLICABLE","Requirement assessed NOT APPLICABLE; no deduction.",IF(I73="NOT ASSESSED","Requirement not assessed; score remains provisional.",IF(M73="Yes","Partial-credit condition applied; 3 points deducted.","Requirement assessed NOT MET; "&amp;L73&amp;" points deducted."))))</f>
        <v/>
      </c>
    </row>
    <row r="74">
      <c r="A74" s="14" t="inlineStr">
        <is>
          <t>MP</t>
        </is>
      </c>
      <c r="B74" s="14" t="inlineStr">
        <is>
          <t>MP.L2-3.8.6</t>
        </is>
      </c>
      <c r="C74" s="14" t="inlineStr">
        <is>
          <t>Portable Storage Encryption</t>
        </is>
      </c>
      <c r="D74" s="14" t="inlineStr">
        <is>
          <t>Implement cryptographic mechanisms to protect the confidentiality of CUI stored on digital media during transport unless otherwise protected by alternative physical safeguards.</t>
        </is>
      </c>
      <c r="E74" s="14" t="n">
        <v>175</v>
      </c>
      <c r="F74" s="14" t="n">
        <v>176</v>
      </c>
      <c r="G74" s="15" t="inlineStr">
        <is>
          <t>Yes</t>
        </is>
      </c>
      <c r="H74" s="16" t="inlineStr">
        <is>
          <t>ONE_POINT</t>
        </is>
      </c>
      <c r="I74" s="15" t="inlineStr">
        <is>
          <t>NOT ASSESSED</t>
        </is>
      </c>
      <c r="J74" s="16" t="inlineStr"/>
      <c r="K74" s="16" t="inlineStr">
        <is>
          <t>No</t>
        </is>
      </c>
      <c r="L74" s="16" t="n">
        <v>1</v>
      </c>
      <c r="M74" s="16">
        <f>IF(AND(K74="Yes",I74="NOT MET",J74="PARTIALLY IMPLEMENTED"),"Yes","No")</f>
        <v/>
      </c>
      <c r="N74" s="16">
        <f>IF(OR(I74="MET",I74="NOT APPLICABLE",I74="NOT ASSESSED"),0,IF(AND(K74="Yes",J74="PARTIALLY IMPLEMENTED"),3,L74))</f>
        <v/>
      </c>
      <c r="O74" s="15" t="inlineStr">
        <is>
          <t>Not Started</t>
        </is>
      </c>
      <c r="P74" s="15" t="inlineStr"/>
      <c r="Q74" s="15" t="inlineStr"/>
      <c r="R74" s="15" t="inlineStr"/>
      <c r="S74" s="16">
        <f>IF(I74="NOT MET","Yes","No")</f>
        <v/>
      </c>
      <c r="T74" s="16" t="inlineStr"/>
      <c r="U74" s="16" t="inlineStr">
        <is>
          <t>32 CFR 170.24(c)(2) | Current eCFR</t>
        </is>
      </c>
      <c r="V74" s="16">
        <f>IF(I74="MET","Requirement assessed MET; no deduction.",IF(I74="NOT APPLICABLE","Requirement assessed NOT APPLICABLE; no deduction.",IF(I74="NOT ASSESSED","Requirement not assessed; score remains provisional.",IF(M74="Yes","Partial-credit condition applied; 3 points deducted.","Requirement assessed NOT MET; "&amp;L74&amp;" points deducted."))))</f>
        <v/>
      </c>
    </row>
    <row r="75">
      <c r="A75" s="14" t="inlineStr">
        <is>
          <t>MP</t>
        </is>
      </c>
      <c r="B75" s="14" t="inlineStr">
        <is>
          <t>MP.L2-3.8.7</t>
        </is>
      </c>
      <c r="C75" s="14" t="inlineStr">
        <is>
          <t>Removeable Media</t>
        </is>
      </c>
      <c r="D75" s="14" t="inlineStr">
        <is>
          <t>Control the use of removable media on system components.</t>
        </is>
      </c>
      <c r="E75" s="14" t="n">
        <v>177</v>
      </c>
      <c r="F75" s="14" t="n">
        <v>178</v>
      </c>
      <c r="G75" s="15" t="inlineStr">
        <is>
          <t>Yes</t>
        </is>
      </c>
      <c r="H75" s="16" t="inlineStr">
        <is>
          <t>FIVE_POINT</t>
        </is>
      </c>
      <c r="I75" s="15" t="inlineStr">
        <is>
          <t>NOT ASSESSED</t>
        </is>
      </c>
      <c r="J75" s="16" t="inlineStr"/>
      <c r="K75" s="16" t="inlineStr">
        <is>
          <t>No</t>
        </is>
      </c>
      <c r="L75" s="16" t="n">
        <v>5</v>
      </c>
      <c r="M75" s="16">
        <f>IF(AND(K75="Yes",I75="NOT MET",J75="PARTIALLY IMPLEMENTED"),"Yes","No")</f>
        <v/>
      </c>
      <c r="N75" s="16">
        <f>IF(OR(I75="MET",I75="NOT APPLICABLE",I75="NOT ASSESSED"),0,IF(AND(K75="Yes",J75="PARTIALLY IMPLEMENTED"),3,L75))</f>
        <v/>
      </c>
      <c r="O75" s="15" t="inlineStr">
        <is>
          <t>Not Started</t>
        </is>
      </c>
      <c r="P75" s="15" t="inlineStr"/>
      <c r="Q75" s="15" t="inlineStr"/>
      <c r="R75" s="15" t="inlineStr"/>
      <c r="S75" s="16">
        <f>IF(I75="NOT MET","Yes","No")</f>
        <v/>
      </c>
      <c r="T75" s="16" t="inlineStr"/>
      <c r="U75" s="16" t="inlineStr">
        <is>
          <t>32 CFR 170.24(c)(2) | Current eCFR</t>
        </is>
      </c>
      <c r="V75" s="16">
        <f>IF(I75="MET","Requirement assessed MET; no deduction.",IF(I75="NOT APPLICABLE","Requirement assessed NOT APPLICABLE; no deduction.",IF(I75="NOT ASSESSED","Requirement not assessed; score remains provisional.",IF(M75="Yes","Partial-credit condition applied; 3 points deducted.","Requirement assessed NOT MET; "&amp;L75&amp;" points deducted."))))</f>
        <v/>
      </c>
    </row>
    <row r="76">
      <c r="A76" s="14" t="inlineStr">
        <is>
          <t>MP</t>
        </is>
      </c>
      <c r="B76" s="14" t="inlineStr">
        <is>
          <t>MP.L2-3.8.8</t>
        </is>
      </c>
      <c r="C76" s="14" t="inlineStr">
        <is>
          <t>Shared Media</t>
        </is>
      </c>
      <c r="D76" s="14" t="inlineStr">
        <is>
          <t>Prohibit the use of portable storage devices when such devices have no identifiable owner.</t>
        </is>
      </c>
      <c r="E76" s="14" t="n">
        <v>179</v>
      </c>
      <c r="F76" s="14" t="n">
        <v>180</v>
      </c>
      <c r="G76" s="15" t="inlineStr">
        <is>
          <t>Yes</t>
        </is>
      </c>
      <c r="H76" s="16" t="inlineStr">
        <is>
          <t>THREE_POINT</t>
        </is>
      </c>
      <c r="I76" s="15" t="inlineStr">
        <is>
          <t>NOT ASSESSED</t>
        </is>
      </c>
      <c r="J76" s="16" t="inlineStr"/>
      <c r="K76" s="16" t="inlineStr">
        <is>
          <t>No</t>
        </is>
      </c>
      <c r="L76" s="16" t="n">
        <v>3</v>
      </c>
      <c r="M76" s="16">
        <f>IF(AND(K76="Yes",I76="NOT MET",J76="PARTIALLY IMPLEMENTED"),"Yes","No")</f>
        <v/>
      </c>
      <c r="N76" s="16">
        <f>IF(OR(I76="MET",I76="NOT APPLICABLE",I76="NOT ASSESSED"),0,IF(AND(K76="Yes",J76="PARTIALLY IMPLEMENTED"),3,L76))</f>
        <v/>
      </c>
      <c r="O76" s="15" t="inlineStr">
        <is>
          <t>Not Started</t>
        </is>
      </c>
      <c r="P76" s="15" t="inlineStr"/>
      <c r="Q76" s="15" t="inlineStr"/>
      <c r="R76" s="15" t="inlineStr"/>
      <c r="S76" s="16">
        <f>IF(I76="NOT MET","Yes","No")</f>
        <v/>
      </c>
      <c r="T76" s="16" t="inlineStr"/>
      <c r="U76" s="16" t="inlineStr">
        <is>
          <t>32 CFR 170.24(c)(2) | Current eCFR</t>
        </is>
      </c>
      <c r="V76" s="16">
        <f>IF(I76="MET","Requirement assessed MET; no deduction.",IF(I76="NOT APPLICABLE","Requirement assessed NOT APPLICABLE; no deduction.",IF(I76="NOT ASSESSED","Requirement not assessed; score remains provisional.",IF(M76="Yes","Partial-credit condition applied; 3 points deducted.","Requirement assessed NOT MET; "&amp;L76&amp;" points deducted."))))</f>
        <v/>
      </c>
    </row>
    <row r="77">
      <c r="A77" s="14" t="inlineStr">
        <is>
          <t>MP</t>
        </is>
      </c>
      <c r="B77" s="14" t="inlineStr">
        <is>
          <t>MP.L2-3.8.9</t>
        </is>
      </c>
      <c r="C77" s="14" t="inlineStr">
        <is>
          <t>Protect Backups</t>
        </is>
      </c>
      <c r="D77" s="14" t="inlineStr">
        <is>
          <t>Protect the confidentiality of backup CUI at storage locations.</t>
        </is>
      </c>
      <c r="E77" s="14" t="n">
        <v>181</v>
      </c>
      <c r="F77" s="14" t="n">
        <v>182</v>
      </c>
      <c r="G77" s="15" t="inlineStr">
        <is>
          <t>Yes</t>
        </is>
      </c>
      <c r="H77" s="16" t="inlineStr">
        <is>
          <t>ONE_POINT</t>
        </is>
      </c>
      <c r="I77" s="15" t="inlineStr">
        <is>
          <t>NOT ASSESSED</t>
        </is>
      </c>
      <c r="J77" s="16" t="inlineStr"/>
      <c r="K77" s="16" t="inlineStr">
        <is>
          <t>No</t>
        </is>
      </c>
      <c r="L77" s="16" t="n">
        <v>1</v>
      </c>
      <c r="M77" s="16">
        <f>IF(AND(K77="Yes",I77="NOT MET",J77="PARTIALLY IMPLEMENTED"),"Yes","No")</f>
        <v/>
      </c>
      <c r="N77" s="16">
        <f>IF(OR(I77="MET",I77="NOT APPLICABLE",I77="NOT ASSESSED"),0,IF(AND(K77="Yes",J77="PARTIALLY IMPLEMENTED"),3,L77))</f>
        <v/>
      </c>
      <c r="O77" s="15" t="inlineStr">
        <is>
          <t>Not Started</t>
        </is>
      </c>
      <c r="P77" s="15" t="inlineStr"/>
      <c r="Q77" s="15" t="inlineStr"/>
      <c r="R77" s="15" t="inlineStr"/>
      <c r="S77" s="16">
        <f>IF(I77="NOT MET","Yes","No")</f>
        <v/>
      </c>
      <c r="T77" s="16" t="inlineStr"/>
      <c r="U77" s="16" t="inlineStr">
        <is>
          <t>32 CFR 170.24(c)(2) | Current eCFR</t>
        </is>
      </c>
      <c r="V77" s="16">
        <f>IF(I77="MET","Requirement assessed MET; no deduction.",IF(I77="NOT APPLICABLE","Requirement assessed NOT APPLICABLE; no deduction.",IF(I77="NOT ASSESSED","Requirement not assessed; score remains provisional.",IF(M77="Yes","Partial-credit condition applied; 3 points deducted.","Requirement assessed NOT MET; "&amp;L77&amp;" points deducted."))))</f>
        <v/>
      </c>
    </row>
    <row r="78">
      <c r="A78" s="14" t="inlineStr">
        <is>
          <t>PS</t>
        </is>
      </c>
      <c r="B78" s="14" t="inlineStr">
        <is>
          <t>PS.L2-3.9.1</t>
        </is>
      </c>
      <c r="C78" s="14" t="inlineStr">
        <is>
          <t>Screen Individuals</t>
        </is>
      </c>
      <c r="D78" s="14" t="inlineStr">
        <is>
          <t>Screen individuals prior to authorizing access to organizational systems containing CUI.</t>
        </is>
      </c>
      <c r="E78" s="14" t="n">
        <v>183</v>
      </c>
      <c r="F78" s="14" t="n">
        <v>184</v>
      </c>
      <c r="G78" s="15" t="inlineStr">
        <is>
          <t>Yes</t>
        </is>
      </c>
      <c r="H78" s="16" t="inlineStr">
        <is>
          <t>THREE_POINT</t>
        </is>
      </c>
      <c r="I78" s="15" t="inlineStr">
        <is>
          <t>NOT ASSESSED</t>
        </is>
      </c>
      <c r="J78" s="16" t="inlineStr"/>
      <c r="K78" s="16" t="inlineStr">
        <is>
          <t>No</t>
        </is>
      </c>
      <c r="L78" s="16" t="n">
        <v>3</v>
      </c>
      <c r="M78" s="16">
        <f>IF(AND(K78="Yes",I78="NOT MET",J78="PARTIALLY IMPLEMENTED"),"Yes","No")</f>
        <v/>
      </c>
      <c r="N78" s="16">
        <f>IF(OR(I78="MET",I78="NOT APPLICABLE",I78="NOT ASSESSED"),0,IF(AND(K78="Yes",J78="PARTIALLY IMPLEMENTED"),3,L78))</f>
        <v/>
      </c>
      <c r="O78" s="15" t="inlineStr">
        <is>
          <t>Not Started</t>
        </is>
      </c>
      <c r="P78" s="15" t="inlineStr"/>
      <c r="Q78" s="15" t="inlineStr"/>
      <c r="R78" s="15" t="inlineStr"/>
      <c r="S78" s="16">
        <f>IF(I78="NOT MET","Yes","No")</f>
        <v/>
      </c>
      <c r="T78" s="16" t="inlineStr"/>
      <c r="U78" s="16" t="inlineStr">
        <is>
          <t>32 CFR 170.24(c)(2) | Current eCFR</t>
        </is>
      </c>
      <c r="V78" s="16">
        <f>IF(I78="MET","Requirement assessed MET; no deduction.",IF(I78="NOT APPLICABLE","Requirement assessed NOT APPLICABLE; no deduction.",IF(I78="NOT ASSESSED","Requirement not assessed; score remains provisional.",IF(M78="Yes","Partial-credit condition applied; 3 points deducted.","Requirement assessed NOT MET; "&amp;L78&amp;" points deducted."))))</f>
        <v/>
      </c>
    </row>
    <row r="79">
      <c r="A79" s="14" t="inlineStr">
        <is>
          <t>PS</t>
        </is>
      </c>
      <c r="B79" s="14" t="inlineStr">
        <is>
          <t>PS.L2-3.9.2</t>
        </is>
      </c>
      <c r="C79" s="14" t="inlineStr">
        <is>
          <t>Personnel Actions</t>
        </is>
      </c>
      <c r="D79" s="14" t="inlineStr">
        <is>
          <t>Ensure that organizational systems containing CUI are protected during and after personnel actions such as terminations and transfers.</t>
        </is>
      </c>
      <c r="E79" s="14" t="n">
        <v>185</v>
      </c>
      <c r="F79" s="14" t="n">
        <v>187</v>
      </c>
      <c r="G79" s="15" t="inlineStr">
        <is>
          <t>Yes</t>
        </is>
      </c>
      <c r="H79" s="16" t="inlineStr">
        <is>
          <t>FIVE_POINT</t>
        </is>
      </c>
      <c r="I79" s="15" t="inlineStr">
        <is>
          <t>NOT ASSESSED</t>
        </is>
      </c>
      <c r="J79" s="16" t="inlineStr"/>
      <c r="K79" s="16" t="inlineStr">
        <is>
          <t>No</t>
        </is>
      </c>
      <c r="L79" s="16" t="n">
        <v>5</v>
      </c>
      <c r="M79" s="16">
        <f>IF(AND(K79="Yes",I79="NOT MET",J79="PARTIALLY IMPLEMENTED"),"Yes","No")</f>
        <v/>
      </c>
      <c r="N79" s="16">
        <f>IF(OR(I79="MET",I79="NOT APPLICABLE",I79="NOT ASSESSED"),0,IF(AND(K79="Yes",J79="PARTIALLY IMPLEMENTED"),3,L79))</f>
        <v/>
      </c>
      <c r="O79" s="15" t="inlineStr">
        <is>
          <t>Not Started</t>
        </is>
      </c>
      <c r="P79" s="15" t="inlineStr"/>
      <c r="Q79" s="15" t="inlineStr"/>
      <c r="R79" s="15" t="inlineStr"/>
      <c r="S79" s="16">
        <f>IF(I79="NOT MET","Yes","No")</f>
        <v/>
      </c>
      <c r="T79" s="16" t="inlineStr"/>
      <c r="U79" s="16" t="inlineStr">
        <is>
          <t>32 CFR 170.24(c)(2) | Current eCFR</t>
        </is>
      </c>
      <c r="V79" s="16">
        <f>IF(I79="MET","Requirement assessed MET; no deduction.",IF(I79="NOT APPLICABLE","Requirement assessed NOT APPLICABLE; no deduction.",IF(I79="NOT ASSESSED","Requirement not assessed; score remains provisional.",IF(M79="Yes","Partial-credit condition applied; 3 points deducted.","Requirement assessed NOT MET; "&amp;L79&amp;" points deducted."))))</f>
        <v/>
      </c>
    </row>
    <row r="80">
      <c r="A80" s="14" t="inlineStr">
        <is>
          <t>PE</t>
        </is>
      </c>
      <c r="B80" s="14" t="inlineStr">
        <is>
          <t>PE.L2-3.10.1</t>
        </is>
      </c>
      <c r="C80" s="14" t="inlineStr">
        <is>
          <t>Limit Physical Access [CUI Data]</t>
        </is>
      </c>
      <c r="D80" s="14" t="inlineStr">
        <is>
          <t>Limit physical access to organizational systems, equipment, and the respective operating environments to authorized individuals.</t>
        </is>
      </c>
      <c r="E80" s="14" t="n">
        <v>188</v>
      </c>
      <c r="F80" s="14" t="n">
        <v>189</v>
      </c>
      <c r="G80" s="15" t="inlineStr">
        <is>
          <t>Yes</t>
        </is>
      </c>
      <c r="H80" s="16" t="inlineStr">
        <is>
          <t>FIVE_POINT</t>
        </is>
      </c>
      <c r="I80" s="15" t="inlineStr">
        <is>
          <t>NOT ASSESSED</t>
        </is>
      </c>
      <c r="J80" s="16" t="inlineStr"/>
      <c r="K80" s="16" t="inlineStr">
        <is>
          <t>No</t>
        </is>
      </c>
      <c r="L80" s="16" t="n">
        <v>5</v>
      </c>
      <c r="M80" s="16">
        <f>IF(AND(K80="Yes",I80="NOT MET",J80="PARTIALLY IMPLEMENTED"),"Yes","No")</f>
        <v/>
      </c>
      <c r="N80" s="16">
        <f>IF(OR(I80="MET",I80="NOT APPLICABLE",I80="NOT ASSESSED"),0,IF(AND(K80="Yes",J80="PARTIALLY IMPLEMENTED"),3,L80))</f>
        <v/>
      </c>
      <c r="O80" s="15" t="inlineStr">
        <is>
          <t>Not Started</t>
        </is>
      </c>
      <c r="P80" s="15" t="inlineStr"/>
      <c r="Q80" s="15" t="inlineStr"/>
      <c r="R80" s="15" t="inlineStr"/>
      <c r="S80" s="16">
        <f>IF(I80="NOT MET","Yes","No")</f>
        <v/>
      </c>
      <c r="T80" s="16" t="inlineStr"/>
      <c r="U80" s="16" t="inlineStr">
        <is>
          <t>32 CFR 170.24(c)(2) | Current eCFR</t>
        </is>
      </c>
      <c r="V80" s="16">
        <f>IF(I80="MET","Requirement assessed MET; no deduction.",IF(I80="NOT APPLICABLE","Requirement assessed NOT APPLICABLE; no deduction.",IF(I80="NOT ASSESSED","Requirement not assessed; score remains provisional.",IF(M80="Yes","Partial-credit condition applied; 3 points deducted.","Requirement assessed NOT MET; "&amp;L80&amp;" points deducted."))))</f>
        <v/>
      </c>
    </row>
    <row r="81">
      <c r="A81" s="14" t="inlineStr">
        <is>
          <t>PE</t>
        </is>
      </c>
      <c r="B81" s="14" t="inlineStr">
        <is>
          <t>PE.L2-3.10.2</t>
        </is>
      </c>
      <c r="C81" s="14" t="inlineStr">
        <is>
          <t>Monitor Facility</t>
        </is>
      </c>
      <c r="D81" s="14" t="inlineStr">
        <is>
          <t>Protect and monitor the physical facility and support infrastructure for organizational systems.</t>
        </is>
      </c>
      <c r="E81" s="14" t="n">
        <v>190</v>
      </c>
      <c r="F81" s="14" t="n">
        <v>191</v>
      </c>
      <c r="G81" s="15" t="inlineStr">
        <is>
          <t>Yes</t>
        </is>
      </c>
      <c r="H81" s="16" t="inlineStr">
        <is>
          <t>FIVE_POINT</t>
        </is>
      </c>
      <c r="I81" s="15" t="inlineStr">
        <is>
          <t>NOT ASSESSED</t>
        </is>
      </c>
      <c r="J81" s="16" t="inlineStr"/>
      <c r="K81" s="16" t="inlineStr">
        <is>
          <t>No</t>
        </is>
      </c>
      <c r="L81" s="16" t="n">
        <v>5</v>
      </c>
      <c r="M81" s="16">
        <f>IF(AND(K81="Yes",I81="NOT MET",J81="PARTIALLY IMPLEMENTED"),"Yes","No")</f>
        <v/>
      </c>
      <c r="N81" s="16">
        <f>IF(OR(I81="MET",I81="NOT APPLICABLE",I81="NOT ASSESSED"),0,IF(AND(K81="Yes",J81="PARTIALLY IMPLEMENTED"),3,L81))</f>
        <v/>
      </c>
      <c r="O81" s="15" t="inlineStr">
        <is>
          <t>Not Started</t>
        </is>
      </c>
      <c r="P81" s="15" t="inlineStr"/>
      <c r="Q81" s="15" t="inlineStr"/>
      <c r="R81" s="15" t="inlineStr"/>
      <c r="S81" s="16">
        <f>IF(I81="NOT MET","Yes","No")</f>
        <v/>
      </c>
      <c r="T81" s="16" t="inlineStr"/>
      <c r="U81" s="16" t="inlineStr">
        <is>
          <t>32 CFR 170.24(c)(2) | Current eCFR</t>
        </is>
      </c>
      <c r="V81" s="16">
        <f>IF(I81="MET","Requirement assessed MET; no deduction.",IF(I81="NOT APPLICABLE","Requirement assessed NOT APPLICABLE; no deduction.",IF(I81="NOT ASSESSED","Requirement not assessed; score remains provisional.",IF(M81="Yes","Partial-credit condition applied; 3 points deducted.","Requirement assessed NOT MET; "&amp;L81&amp;" points deducted."))))</f>
        <v/>
      </c>
    </row>
    <row r="82">
      <c r="A82" s="14" t="inlineStr">
        <is>
          <t>PE</t>
        </is>
      </c>
      <c r="B82" s="14" t="inlineStr">
        <is>
          <t>PE.L2-3.10.3</t>
        </is>
      </c>
      <c r="C82" s="14" t="inlineStr">
        <is>
          <t>Escort Visitors [CUI Data]</t>
        </is>
      </c>
      <c r="D82" s="14" t="inlineStr">
        <is>
          <t>Escort visitors and monitor visitor activity.</t>
        </is>
      </c>
      <c r="E82" s="14" t="n">
        <v>192</v>
      </c>
      <c r="F82" s="14" t="n">
        <v>193</v>
      </c>
      <c r="G82" s="15" t="inlineStr">
        <is>
          <t>Yes</t>
        </is>
      </c>
      <c r="H82" s="16" t="inlineStr">
        <is>
          <t>ONE_POINT</t>
        </is>
      </c>
      <c r="I82" s="15" t="inlineStr">
        <is>
          <t>NOT ASSESSED</t>
        </is>
      </c>
      <c r="J82" s="16" t="inlineStr"/>
      <c r="K82" s="16" t="inlineStr">
        <is>
          <t>No</t>
        </is>
      </c>
      <c r="L82" s="16" t="n">
        <v>1</v>
      </c>
      <c r="M82" s="16">
        <f>IF(AND(K82="Yes",I82="NOT MET",J82="PARTIALLY IMPLEMENTED"),"Yes","No")</f>
        <v/>
      </c>
      <c r="N82" s="16">
        <f>IF(OR(I82="MET",I82="NOT APPLICABLE",I82="NOT ASSESSED"),0,IF(AND(K82="Yes",J82="PARTIALLY IMPLEMENTED"),3,L82))</f>
        <v/>
      </c>
      <c r="O82" s="15" t="inlineStr">
        <is>
          <t>Not Started</t>
        </is>
      </c>
      <c r="P82" s="15" t="inlineStr"/>
      <c r="Q82" s="15" t="inlineStr"/>
      <c r="R82" s="15" t="inlineStr"/>
      <c r="S82" s="16">
        <f>IF(I82="NOT MET","Yes","No")</f>
        <v/>
      </c>
      <c r="T82" s="16" t="inlineStr"/>
      <c r="U82" s="16" t="inlineStr">
        <is>
          <t>32 CFR 170.24(c)(2) | Current eCFR</t>
        </is>
      </c>
      <c r="V82" s="16">
        <f>IF(I82="MET","Requirement assessed MET; no deduction.",IF(I82="NOT APPLICABLE","Requirement assessed NOT APPLICABLE; no deduction.",IF(I82="NOT ASSESSED","Requirement not assessed; score remains provisional.",IF(M82="Yes","Partial-credit condition applied; 3 points deducted.","Requirement assessed NOT MET; "&amp;L82&amp;" points deducted."))))</f>
        <v/>
      </c>
    </row>
    <row r="83">
      <c r="A83" s="14" t="inlineStr">
        <is>
          <t>PE</t>
        </is>
      </c>
      <c r="B83" s="14" t="inlineStr">
        <is>
          <t>PE.L2-3.10.4</t>
        </is>
      </c>
      <c r="C83" s="14" t="inlineStr">
        <is>
          <t>Physical Access Logs [CUI Data]</t>
        </is>
      </c>
      <c r="D83" s="14" t="inlineStr">
        <is>
          <t>Maintain audit logs of physical access.</t>
        </is>
      </c>
      <c r="E83" s="14" t="n">
        <v>194</v>
      </c>
      <c r="F83" s="14" t="n">
        <v>195</v>
      </c>
      <c r="G83" s="15" t="inlineStr">
        <is>
          <t>Yes</t>
        </is>
      </c>
      <c r="H83" s="16" t="inlineStr">
        <is>
          <t>ONE_POINT</t>
        </is>
      </c>
      <c r="I83" s="15" t="inlineStr">
        <is>
          <t>NOT ASSESSED</t>
        </is>
      </c>
      <c r="J83" s="16" t="inlineStr"/>
      <c r="K83" s="16" t="inlineStr">
        <is>
          <t>No</t>
        </is>
      </c>
      <c r="L83" s="16" t="n">
        <v>1</v>
      </c>
      <c r="M83" s="16">
        <f>IF(AND(K83="Yes",I83="NOT MET",J83="PARTIALLY IMPLEMENTED"),"Yes","No")</f>
        <v/>
      </c>
      <c r="N83" s="16">
        <f>IF(OR(I83="MET",I83="NOT APPLICABLE",I83="NOT ASSESSED"),0,IF(AND(K83="Yes",J83="PARTIALLY IMPLEMENTED"),3,L83))</f>
        <v/>
      </c>
      <c r="O83" s="15" t="inlineStr">
        <is>
          <t>Not Started</t>
        </is>
      </c>
      <c r="P83" s="15" t="inlineStr"/>
      <c r="Q83" s="15" t="inlineStr"/>
      <c r="R83" s="15" t="inlineStr"/>
      <c r="S83" s="16">
        <f>IF(I83="NOT MET","Yes","No")</f>
        <v/>
      </c>
      <c r="T83" s="16" t="inlineStr"/>
      <c r="U83" s="16" t="inlineStr">
        <is>
          <t>32 CFR 170.24(c)(2) | Current eCFR</t>
        </is>
      </c>
      <c r="V83" s="16">
        <f>IF(I83="MET","Requirement assessed MET; no deduction.",IF(I83="NOT APPLICABLE","Requirement assessed NOT APPLICABLE; no deduction.",IF(I83="NOT ASSESSED","Requirement not assessed; score remains provisional.",IF(M83="Yes","Partial-credit condition applied; 3 points deducted.","Requirement assessed NOT MET; "&amp;L83&amp;" points deducted."))))</f>
        <v/>
      </c>
    </row>
    <row r="84">
      <c r="A84" s="14" t="inlineStr">
        <is>
          <t>PE</t>
        </is>
      </c>
      <c r="B84" s="14" t="inlineStr">
        <is>
          <t>PE.L2-3.10.5</t>
        </is>
      </c>
      <c r="C84" s="14" t="inlineStr">
        <is>
          <t>Manage Physical Access [CUI Data]</t>
        </is>
      </c>
      <c r="D84" s="14" t="inlineStr">
        <is>
          <t>Control and manage physical access devices.</t>
        </is>
      </c>
      <c r="E84" s="14" t="n">
        <v>196</v>
      </c>
      <c r="F84" s="14" t="n">
        <v>197</v>
      </c>
      <c r="G84" s="15" t="inlineStr">
        <is>
          <t>Yes</t>
        </is>
      </c>
      <c r="H84" s="16" t="inlineStr">
        <is>
          <t>ONE_POINT</t>
        </is>
      </c>
      <c r="I84" s="15" t="inlineStr">
        <is>
          <t>NOT ASSESSED</t>
        </is>
      </c>
      <c r="J84" s="16" t="inlineStr"/>
      <c r="K84" s="16" t="inlineStr">
        <is>
          <t>No</t>
        </is>
      </c>
      <c r="L84" s="16" t="n">
        <v>1</v>
      </c>
      <c r="M84" s="16">
        <f>IF(AND(K84="Yes",I84="NOT MET",J84="PARTIALLY IMPLEMENTED"),"Yes","No")</f>
        <v/>
      </c>
      <c r="N84" s="16">
        <f>IF(OR(I84="MET",I84="NOT APPLICABLE",I84="NOT ASSESSED"),0,IF(AND(K84="Yes",J84="PARTIALLY IMPLEMENTED"),3,L84))</f>
        <v/>
      </c>
      <c r="O84" s="15" t="inlineStr">
        <is>
          <t>Not Started</t>
        </is>
      </c>
      <c r="P84" s="15" t="inlineStr"/>
      <c r="Q84" s="15" t="inlineStr"/>
      <c r="R84" s="15" t="inlineStr"/>
      <c r="S84" s="16">
        <f>IF(I84="NOT MET","Yes","No")</f>
        <v/>
      </c>
      <c r="T84" s="16" t="inlineStr"/>
      <c r="U84" s="16" t="inlineStr">
        <is>
          <t>32 CFR 170.24(c)(2) | Current eCFR</t>
        </is>
      </c>
      <c r="V84" s="16">
        <f>IF(I84="MET","Requirement assessed MET; no deduction.",IF(I84="NOT APPLICABLE","Requirement assessed NOT APPLICABLE; no deduction.",IF(I84="NOT ASSESSED","Requirement not assessed; score remains provisional.",IF(M84="Yes","Partial-credit condition applied; 3 points deducted.","Requirement assessed NOT MET; "&amp;L84&amp;" points deducted."))))</f>
        <v/>
      </c>
    </row>
    <row r="85">
      <c r="A85" s="14" t="inlineStr">
        <is>
          <t>PE</t>
        </is>
      </c>
      <c r="B85" s="14" t="inlineStr">
        <is>
          <t>PE.L2-3.10.6</t>
        </is>
      </c>
      <c r="C85" s="14" t="inlineStr">
        <is>
          <t>Alternative Work Sites</t>
        </is>
      </c>
      <c r="D85" s="14" t="inlineStr">
        <is>
          <t>Enforce safeguarding measures for CUI at alternate work sites.</t>
        </is>
      </c>
      <c r="E85" s="14" t="n">
        <v>198</v>
      </c>
      <c r="F85" s="14" t="n">
        <v>199</v>
      </c>
      <c r="G85" s="15" t="inlineStr">
        <is>
          <t>Yes</t>
        </is>
      </c>
      <c r="H85" s="16" t="inlineStr">
        <is>
          <t>ONE_POINT</t>
        </is>
      </c>
      <c r="I85" s="15" t="inlineStr">
        <is>
          <t>NOT ASSESSED</t>
        </is>
      </c>
      <c r="J85" s="16" t="inlineStr"/>
      <c r="K85" s="16" t="inlineStr">
        <is>
          <t>No</t>
        </is>
      </c>
      <c r="L85" s="16" t="n">
        <v>1</v>
      </c>
      <c r="M85" s="16">
        <f>IF(AND(K85="Yes",I85="NOT MET",J85="PARTIALLY IMPLEMENTED"),"Yes","No")</f>
        <v/>
      </c>
      <c r="N85" s="16">
        <f>IF(OR(I85="MET",I85="NOT APPLICABLE",I85="NOT ASSESSED"),0,IF(AND(K85="Yes",J85="PARTIALLY IMPLEMENTED"),3,L85))</f>
        <v/>
      </c>
      <c r="O85" s="15" t="inlineStr">
        <is>
          <t>Not Started</t>
        </is>
      </c>
      <c r="P85" s="15" t="inlineStr"/>
      <c r="Q85" s="15" t="inlineStr"/>
      <c r="R85" s="15" t="inlineStr"/>
      <c r="S85" s="16">
        <f>IF(I85="NOT MET","Yes","No")</f>
        <v/>
      </c>
      <c r="T85" s="16" t="inlineStr"/>
      <c r="U85" s="16" t="inlineStr">
        <is>
          <t>32 CFR 170.24(c)(2) | Current eCFR</t>
        </is>
      </c>
      <c r="V85" s="16">
        <f>IF(I85="MET","Requirement assessed MET; no deduction.",IF(I85="NOT APPLICABLE","Requirement assessed NOT APPLICABLE; no deduction.",IF(I85="NOT ASSESSED","Requirement not assessed; score remains provisional.",IF(M85="Yes","Partial-credit condition applied; 3 points deducted.","Requirement assessed NOT MET; "&amp;L85&amp;" points deducted."))))</f>
        <v/>
      </c>
    </row>
    <row r="86">
      <c r="A86" s="14" t="inlineStr">
        <is>
          <t>RA</t>
        </is>
      </c>
      <c r="B86" s="14" t="inlineStr">
        <is>
          <t>RA.L2-3.11.1</t>
        </is>
      </c>
      <c r="C86" s="14" t="inlineStr">
        <is>
          <t>RIsk Assessments</t>
        </is>
      </c>
      <c r="D86" s="14" t="inlineStr">
        <is>
          <t>Periodically assess the risk to organizational operations (including mission, functions, image, or reputation), organizational assets, and individuals, resulting from the operation of organizational systems and the associated processing, storage, or transmission of CUI.</t>
        </is>
      </c>
      <c r="E86" s="14" t="n">
        <v>200</v>
      </c>
      <c r="F86" s="14" t="n">
        <v>202</v>
      </c>
      <c r="G86" s="15" t="inlineStr">
        <is>
          <t>Yes</t>
        </is>
      </c>
      <c r="H86" s="16" t="inlineStr">
        <is>
          <t>THREE_POINT</t>
        </is>
      </c>
      <c r="I86" s="15" t="inlineStr">
        <is>
          <t>NOT ASSESSED</t>
        </is>
      </c>
      <c r="J86" s="16" t="inlineStr"/>
      <c r="K86" s="16" t="inlineStr">
        <is>
          <t>No</t>
        </is>
      </c>
      <c r="L86" s="16" t="n">
        <v>3</v>
      </c>
      <c r="M86" s="16">
        <f>IF(AND(K86="Yes",I86="NOT MET",J86="PARTIALLY IMPLEMENTED"),"Yes","No")</f>
        <v/>
      </c>
      <c r="N86" s="16">
        <f>IF(OR(I86="MET",I86="NOT APPLICABLE",I86="NOT ASSESSED"),0,IF(AND(K86="Yes",J86="PARTIALLY IMPLEMENTED"),3,L86))</f>
        <v/>
      </c>
      <c r="O86" s="15" t="inlineStr">
        <is>
          <t>Not Started</t>
        </is>
      </c>
      <c r="P86" s="15" t="inlineStr"/>
      <c r="Q86" s="15" t="inlineStr"/>
      <c r="R86" s="15" t="inlineStr"/>
      <c r="S86" s="16">
        <f>IF(I86="NOT MET","Yes","No")</f>
        <v/>
      </c>
      <c r="T86" s="16" t="inlineStr"/>
      <c r="U86" s="16" t="inlineStr">
        <is>
          <t>32 CFR 170.24(c)(2) | Current eCFR</t>
        </is>
      </c>
      <c r="V86" s="16">
        <f>IF(I86="MET","Requirement assessed MET; no deduction.",IF(I86="NOT APPLICABLE","Requirement assessed NOT APPLICABLE; no deduction.",IF(I86="NOT ASSESSED","Requirement not assessed; score remains provisional.",IF(M86="Yes","Partial-credit condition applied; 3 points deducted.","Requirement assessed NOT MET; "&amp;L86&amp;" points deducted."))))</f>
        <v/>
      </c>
    </row>
    <row r="87">
      <c r="A87" s="14" t="inlineStr">
        <is>
          <t>RA</t>
        </is>
      </c>
      <c r="B87" s="14" t="inlineStr">
        <is>
          <t>RA.L2-3.11.2</t>
        </is>
      </c>
      <c r="C87" s="14" t="inlineStr">
        <is>
          <t>Vulnerability Scan</t>
        </is>
      </c>
      <c r="D87" s="14" t="inlineStr">
        <is>
          <t>Scan for vulnerabilities in organizational systems and applications periodically and when new vulnerabilities affecting those systems and applications are identified.</t>
        </is>
      </c>
      <c r="E87" s="14" t="n">
        <v>203</v>
      </c>
      <c r="F87" s="14" t="n">
        <v>205</v>
      </c>
      <c r="G87" s="15" t="inlineStr">
        <is>
          <t>Yes</t>
        </is>
      </c>
      <c r="H87" s="16" t="inlineStr">
        <is>
          <t>FIVE_POINT</t>
        </is>
      </c>
      <c r="I87" s="15" t="inlineStr">
        <is>
          <t>NOT ASSESSED</t>
        </is>
      </c>
      <c r="J87" s="16" t="inlineStr"/>
      <c r="K87" s="16" t="inlineStr">
        <is>
          <t>No</t>
        </is>
      </c>
      <c r="L87" s="16" t="n">
        <v>5</v>
      </c>
      <c r="M87" s="16">
        <f>IF(AND(K87="Yes",I87="NOT MET",J87="PARTIALLY IMPLEMENTED"),"Yes","No")</f>
        <v/>
      </c>
      <c r="N87" s="16">
        <f>IF(OR(I87="MET",I87="NOT APPLICABLE",I87="NOT ASSESSED"),0,IF(AND(K87="Yes",J87="PARTIALLY IMPLEMENTED"),3,L87))</f>
        <v/>
      </c>
      <c r="O87" s="15" t="inlineStr">
        <is>
          <t>Not Started</t>
        </is>
      </c>
      <c r="P87" s="15" t="inlineStr"/>
      <c r="Q87" s="15" t="inlineStr"/>
      <c r="R87" s="15" t="inlineStr"/>
      <c r="S87" s="16">
        <f>IF(I87="NOT MET","Yes","No")</f>
        <v/>
      </c>
      <c r="T87" s="16" t="inlineStr"/>
      <c r="U87" s="16" t="inlineStr">
        <is>
          <t>32 CFR 170.24(c)(2) | Current eCFR</t>
        </is>
      </c>
      <c r="V87" s="16">
        <f>IF(I87="MET","Requirement assessed MET; no deduction.",IF(I87="NOT APPLICABLE","Requirement assessed NOT APPLICABLE; no deduction.",IF(I87="NOT ASSESSED","Requirement not assessed; score remains provisional.",IF(M87="Yes","Partial-credit condition applied; 3 points deducted.","Requirement assessed NOT MET; "&amp;L87&amp;" points deducted."))))</f>
        <v/>
      </c>
    </row>
    <row r="88">
      <c r="A88" s="14" t="inlineStr">
        <is>
          <t>RA</t>
        </is>
      </c>
      <c r="B88" s="14" t="inlineStr">
        <is>
          <t>RA.L2-3.11.3</t>
        </is>
      </c>
      <c r="C88" s="14" t="inlineStr">
        <is>
          <t>Vulnerability Remediation</t>
        </is>
      </c>
      <c r="D88" s="14" t="inlineStr">
        <is>
          <t>Remediate vulnerabilities in accordance with risk assessments.</t>
        </is>
      </c>
      <c r="E88" s="14" t="n">
        <v>206</v>
      </c>
      <c r="F88" s="14" t="n">
        <v>207</v>
      </c>
      <c r="G88" s="15" t="inlineStr">
        <is>
          <t>Yes</t>
        </is>
      </c>
      <c r="H88" s="16" t="inlineStr">
        <is>
          <t>ONE_POINT</t>
        </is>
      </c>
      <c r="I88" s="15" t="inlineStr">
        <is>
          <t>NOT ASSESSED</t>
        </is>
      </c>
      <c r="J88" s="16" t="inlineStr"/>
      <c r="K88" s="16" t="inlineStr">
        <is>
          <t>No</t>
        </is>
      </c>
      <c r="L88" s="16" t="n">
        <v>1</v>
      </c>
      <c r="M88" s="16">
        <f>IF(AND(K88="Yes",I88="NOT MET",J88="PARTIALLY IMPLEMENTED"),"Yes","No")</f>
        <v/>
      </c>
      <c r="N88" s="16">
        <f>IF(OR(I88="MET",I88="NOT APPLICABLE",I88="NOT ASSESSED"),0,IF(AND(K88="Yes",J88="PARTIALLY IMPLEMENTED"),3,L88))</f>
        <v/>
      </c>
      <c r="O88" s="15" t="inlineStr">
        <is>
          <t>Not Started</t>
        </is>
      </c>
      <c r="P88" s="15" t="inlineStr"/>
      <c r="Q88" s="15" t="inlineStr"/>
      <c r="R88" s="15" t="inlineStr"/>
      <c r="S88" s="16">
        <f>IF(I88="NOT MET","Yes","No")</f>
        <v/>
      </c>
      <c r="T88" s="16" t="inlineStr"/>
      <c r="U88" s="16" t="inlineStr">
        <is>
          <t>32 CFR 170.24(c)(2) | Current eCFR</t>
        </is>
      </c>
      <c r="V88" s="16">
        <f>IF(I88="MET","Requirement assessed MET; no deduction.",IF(I88="NOT APPLICABLE","Requirement assessed NOT APPLICABLE; no deduction.",IF(I88="NOT ASSESSED","Requirement not assessed; score remains provisional.",IF(M88="Yes","Partial-credit condition applied; 3 points deducted.","Requirement assessed NOT MET; "&amp;L88&amp;" points deducted."))))</f>
        <v/>
      </c>
    </row>
    <row r="89">
      <c r="A89" s="14" t="inlineStr">
        <is>
          <t>CA</t>
        </is>
      </c>
      <c r="B89" s="14" t="inlineStr">
        <is>
          <t>CA.L2-3.12.1</t>
        </is>
      </c>
      <c r="C89" s="14" t="inlineStr">
        <is>
          <t>Security Control Assessment</t>
        </is>
      </c>
      <c r="D89" s="14" t="inlineStr">
        <is>
          <t>Periodically assess the security controls in organizational systems to determine if the controls are effective in their application.</t>
        </is>
      </c>
      <c r="E89" s="14" t="n">
        <v>208</v>
      </c>
      <c r="F89" s="14" t="n">
        <v>210</v>
      </c>
      <c r="G89" s="15" t="inlineStr">
        <is>
          <t>Yes</t>
        </is>
      </c>
      <c r="H89" s="16" t="inlineStr">
        <is>
          <t>FIVE_POINT</t>
        </is>
      </c>
      <c r="I89" s="15" t="inlineStr">
        <is>
          <t>NOT ASSESSED</t>
        </is>
      </c>
      <c r="J89" s="16" t="inlineStr"/>
      <c r="K89" s="16" t="inlineStr">
        <is>
          <t>No</t>
        </is>
      </c>
      <c r="L89" s="16" t="n">
        <v>5</v>
      </c>
      <c r="M89" s="16">
        <f>IF(AND(K89="Yes",I89="NOT MET",J89="PARTIALLY IMPLEMENTED"),"Yes","No")</f>
        <v/>
      </c>
      <c r="N89" s="16">
        <f>IF(OR(I89="MET",I89="NOT APPLICABLE",I89="NOT ASSESSED"),0,IF(AND(K89="Yes",J89="PARTIALLY IMPLEMENTED"),3,L89))</f>
        <v/>
      </c>
      <c r="O89" s="15" t="inlineStr">
        <is>
          <t>Not Started</t>
        </is>
      </c>
      <c r="P89" s="15" t="inlineStr"/>
      <c r="Q89" s="15" t="inlineStr"/>
      <c r="R89" s="15" t="inlineStr"/>
      <c r="S89" s="16">
        <f>IF(I89="NOT MET","Yes","No")</f>
        <v/>
      </c>
      <c r="T89" s="16" t="inlineStr"/>
      <c r="U89" s="16" t="inlineStr">
        <is>
          <t>32 CFR 170.24(c)(2) | Current eCFR</t>
        </is>
      </c>
      <c r="V89" s="16">
        <f>IF(I89="MET","Requirement assessed MET; no deduction.",IF(I89="NOT APPLICABLE","Requirement assessed NOT APPLICABLE; no deduction.",IF(I89="NOT ASSESSED","Requirement not assessed; score remains provisional.",IF(M89="Yes","Partial-credit condition applied; 3 points deducted.","Requirement assessed NOT MET; "&amp;L89&amp;" points deducted."))))</f>
        <v/>
      </c>
    </row>
    <row r="90">
      <c r="A90" s="14" t="inlineStr">
        <is>
          <t>CA</t>
        </is>
      </c>
      <c r="B90" s="14" t="inlineStr">
        <is>
          <t>CA.L2-3.12.2</t>
        </is>
      </c>
      <c r="C90" s="14" t="inlineStr">
        <is>
          <t>operational Plan of Action</t>
        </is>
      </c>
      <c r="D90" s="14" t="inlineStr">
        <is>
          <t>Develop and implement plans of action designed to correct deficiencies and reduce or eliminate vulnerabilities in organizational systems.</t>
        </is>
      </c>
      <c r="E90" s="14" t="n">
        <v>211</v>
      </c>
      <c r="F90" s="14" t="n">
        <v>213</v>
      </c>
      <c r="G90" s="15" t="inlineStr">
        <is>
          <t>Yes</t>
        </is>
      </c>
      <c r="H90" s="16" t="inlineStr">
        <is>
          <t>THREE_POINT</t>
        </is>
      </c>
      <c r="I90" s="15" t="inlineStr">
        <is>
          <t>NOT ASSESSED</t>
        </is>
      </c>
      <c r="J90" s="16" t="inlineStr"/>
      <c r="K90" s="16" t="inlineStr">
        <is>
          <t>No</t>
        </is>
      </c>
      <c r="L90" s="16" t="n">
        <v>3</v>
      </c>
      <c r="M90" s="16">
        <f>IF(AND(K90="Yes",I90="NOT MET",J90="PARTIALLY IMPLEMENTED"),"Yes","No")</f>
        <v/>
      </c>
      <c r="N90" s="16">
        <f>IF(OR(I90="MET",I90="NOT APPLICABLE",I90="NOT ASSESSED"),0,IF(AND(K90="Yes",J90="PARTIALLY IMPLEMENTED"),3,L90))</f>
        <v/>
      </c>
      <c r="O90" s="15" t="inlineStr">
        <is>
          <t>Not Started</t>
        </is>
      </c>
      <c r="P90" s="15" t="inlineStr"/>
      <c r="Q90" s="15" t="inlineStr"/>
      <c r="R90" s="15" t="inlineStr"/>
      <c r="S90" s="16">
        <f>IF(I90="NOT MET","Yes","No")</f>
        <v/>
      </c>
      <c r="T90" s="16" t="inlineStr"/>
      <c r="U90" s="16" t="inlineStr">
        <is>
          <t>32 CFR 170.24(c)(2) | Current eCFR</t>
        </is>
      </c>
      <c r="V90" s="16">
        <f>IF(I90="MET","Requirement assessed MET; no deduction.",IF(I90="NOT APPLICABLE","Requirement assessed NOT APPLICABLE; no deduction.",IF(I90="NOT ASSESSED","Requirement not assessed; score remains provisional.",IF(M90="Yes","Partial-credit condition applied; 3 points deducted.","Requirement assessed NOT MET; "&amp;L90&amp;" points deducted."))))</f>
        <v/>
      </c>
    </row>
    <row r="91">
      <c r="A91" s="14" t="inlineStr">
        <is>
          <t>CA</t>
        </is>
      </c>
      <c r="B91" s="14" t="inlineStr">
        <is>
          <t>CA.L2-3.12.3</t>
        </is>
      </c>
      <c r="C91" s="14" t="inlineStr">
        <is>
          <t>Security Control Monitoring</t>
        </is>
      </c>
      <c r="D91" s="14" t="inlineStr">
        <is>
          <t>Monitor security controls on an ongoing basis to ensure the continued effectiveness of the controls.</t>
        </is>
      </c>
      <c r="E91" s="14" t="n">
        <v>214</v>
      </c>
      <c r="F91" s="14" t="n">
        <v>215</v>
      </c>
      <c r="G91" s="15" t="inlineStr">
        <is>
          <t>Yes</t>
        </is>
      </c>
      <c r="H91" s="16" t="inlineStr">
        <is>
          <t>FIVE_POINT</t>
        </is>
      </c>
      <c r="I91" s="15" t="inlineStr">
        <is>
          <t>NOT ASSESSED</t>
        </is>
      </c>
      <c r="J91" s="16" t="inlineStr"/>
      <c r="K91" s="16" t="inlineStr">
        <is>
          <t>No</t>
        </is>
      </c>
      <c r="L91" s="16" t="n">
        <v>5</v>
      </c>
      <c r="M91" s="16">
        <f>IF(AND(K91="Yes",I91="NOT MET",J91="PARTIALLY IMPLEMENTED"),"Yes","No")</f>
        <v/>
      </c>
      <c r="N91" s="16">
        <f>IF(OR(I91="MET",I91="NOT APPLICABLE",I91="NOT ASSESSED"),0,IF(AND(K91="Yes",J91="PARTIALLY IMPLEMENTED"),3,L91))</f>
        <v/>
      </c>
      <c r="O91" s="15" t="inlineStr">
        <is>
          <t>Not Started</t>
        </is>
      </c>
      <c r="P91" s="15" t="inlineStr"/>
      <c r="Q91" s="15" t="inlineStr"/>
      <c r="R91" s="15" t="inlineStr"/>
      <c r="S91" s="16">
        <f>IF(I91="NOT MET","Yes","No")</f>
        <v/>
      </c>
      <c r="T91" s="16" t="inlineStr"/>
      <c r="U91" s="16" t="inlineStr">
        <is>
          <t>32 CFR 170.24(c)(2) | Current eCFR</t>
        </is>
      </c>
      <c r="V91" s="16">
        <f>IF(I91="MET","Requirement assessed MET; no deduction.",IF(I91="NOT APPLICABLE","Requirement assessed NOT APPLICABLE; no deduction.",IF(I91="NOT ASSESSED","Requirement not assessed; score remains provisional.",IF(M91="Yes","Partial-credit condition applied; 3 points deducted.","Requirement assessed NOT MET; "&amp;L91&amp;" points deducted."))))</f>
        <v/>
      </c>
    </row>
    <row r="92">
      <c r="A92" s="14" t="inlineStr">
        <is>
          <t>CA</t>
        </is>
      </c>
      <c r="B92" s="14" t="inlineStr">
        <is>
          <t>CA.L2-3.12.4</t>
        </is>
      </c>
      <c r="C92" s="14" t="inlineStr">
        <is>
          <t>System Security Plan</t>
        </is>
      </c>
      <c r="D92" s="14" t="inlineStr">
        <is>
          <t>Develop, document, and periodically update system security plans that describe system boundaries, system environments of operation, how security requirements are implemented, and the relationships with or connections to other systems.</t>
        </is>
      </c>
      <c r="E92" s="14" t="n">
        <v>216</v>
      </c>
      <c r="F92" s="14" t="n">
        <v>218</v>
      </c>
      <c r="G92" s="15" t="inlineStr">
        <is>
          <t>Yes</t>
        </is>
      </c>
      <c r="H92" s="16" t="inlineStr">
        <is>
          <t>ONE_POINT</t>
        </is>
      </c>
      <c r="I92" s="15" t="inlineStr">
        <is>
          <t>NOT ASSESSED</t>
        </is>
      </c>
      <c r="J92" s="16" t="inlineStr"/>
      <c r="K92" s="16" t="inlineStr">
        <is>
          <t>No</t>
        </is>
      </c>
      <c r="L92" s="16" t="n">
        <v>1</v>
      </c>
      <c r="M92" s="16">
        <f>IF(AND(K92="Yes",I92="NOT MET",J92="PARTIALLY IMPLEMENTED"),"Yes","No")</f>
        <v/>
      </c>
      <c r="N92" s="16">
        <f>IF(OR(I92="MET",I92="NOT APPLICABLE",I92="NOT ASSESSED"),0,IF(AND(K92="Yes",J92="PARTIALLY IMPLEMENTED"),3,L92))</f>
        <v/>
      </c>
      <c r="O92" s="15" t="inlineStr">
        <is>
          <t>Not Started</t>
        </is>
      </c>
      <c r="P92" s="15" t="inlineStr"/>
      <c r="Q92" s="15" t="inlineStr"/>
      <c r="R92" s="15" t="inlineStr"/>
      <c r="S92" s="16">
        <f>IF(I92="NOT MET","Yes","No")</f>
        <v/>
      </c>
      <c r="T92" s="16" t="inlineStr"/>
      <c r="U92" s="16" t="inlineStr">
        <is>
          <t>32 CFR 170.24(c)(2) | Current eCFR</t>
        </is>
      </c>
      <c r="V92" s="16">
        <f>IF(I92="MET","Requirement assessed MET; no deduction.",IF(I92="NOT APPLICABLE","Requirement assessed NOT APPLICABLE; no deduction.",IF(I92="NOT ASSESSED","Requirement not assessed; score remains provisional.",IF(M92="Yes","Partial-credit condition applied; 3 points deducted.","Requirement assessed NOT MET; "&amp;L92&amp;" points deducted."))))</f>
        <v/>
      </c>
    </row>
    <row r="93">
      <c r="A93" s="14" t="inlineStr">
        <is>
          <t>SC</t>
        </is>
      </c>
      <c r="B93" s="14" t="inlineStr">
        <is>
          <t>SC.L2-3.13.1</t>
        </is>
      </c>
      <c r="C93" s="14" t="inlineStr">
        <is>
          <t>Boundary Protection [CUI Data]</t>
        </is>
      </c>
      <c r="D93" s="14" t="inlineStr">
        <is>
          <t>Monitor, control, and protect communications (i.e., information transmitted or received by organizational systems) at the external boundaries and key internal boundaries of organizational systems.</t>
        </is>
      </c>
      <c r="E93" s="14" t="n">
        <v>219</v>
      </c>
      <c r="F93" s="14" t="n">
        <v>221</v>
      </c>
      <c r="G93" s="15" t="inlineStr">
        <is>
          <t>Yes</t>
        </is>
      </c>
      <c r="H93" s="16" t="inlineStr">
        <is>
          <t>FIVE_POINT</t>
        </is>
      </c>
      <c r="I93" s="15" t="inlineStr">
        <is>
          <t>NOT ASSESSED</t>
        </is>
      </c>
      <c r="J93" s="16" t="inlineStr"/>
      <c r="K93" s="16" t="inlineStr">
        <is>
          <t>No</t>
        </is>
      </c>
      <c r="L93" s="16" t="n">
        <v>5</v>
      </c>
      <c r="M93" s="16">
        <f>IF(AND(K93="Yes",I93="NOT MET",J93="PARTIALLY IMPLEMENTED"),"Yes","No")</f>
        <v/>
      </c>
      <c r="N93" s="16">
        <f>IF(OR(I93="MET",I93="NOT APPLICABLE",I93="NOT ASSESSED"),0,IF(AND(K93="Yes",J93="PARTIALLY IMPLEMENTED"),3,L93))</f>
        <v/>
      </c>
      <c r="O93" s="15" t="inlineStr">
        <is>
          <t>Not Started</t>
        </is>
      </c>
      <c r="P93" s="15" t="inlineStr"/>
      <c r="Q93" s="15" t="inlineStr"/>
      <c r="R93" s="15" t="inlineStr"/>
      <c r="S93" s="16">
        <f>IF(I93="NOT MET","Yes","No")</f>
        <v/>
      </c>
      <c r="T93" s="16" t="inlineStr"/>
      <c r="U93" s="16" t="inlineStr">
        <is>
          <t>32 CFR 170.24(c)(2) | Current eCFR</t>
        </is>
      </c>
      <c r="V93" s="16">
        <f>IF(I93="MET","Requirement assessed MET; no deduction.",IF(I93="NOT APPLICABLE","Requirement assessed NOT APPLICABLE; no deduction.",IF(I93="NOT ASSESSED","Requirement not assessed; score remains provisional.",IF(M93="Yes","Partial-credit condition applied; 3 points deducted.","Requirement assessed NOT MET; "&amp;L93&amp;" points deducted."))))</f>
        <v/>
      </c>
    </row>
    <row r="94">
      <c r="A94" s="14" t="inlineStr">
        <is>
          <t>SC</t>
        </is>
      </c>
      <c r="B94" s="14" t="inlineStr">
        <is>
          <t>SC.L2-3.13.2</t>
        </is>
      </c>
      <c r="C94" s="14" t="inlineStr">
        <is>
          <t>Security Engineering</t>
        </is>
      </c>
      <c r="D94" s="14" t="inlineStr">
        <is>
          <t>Employ architectural designs, software development techniques, and systems engineering principles that promote effective information security within organizational systems.</t>
        </is>
      </c>
      <c r="E94" s="14" t="n">
        <v>222</v>
      </c>
      <c r="F94" s="14" t="n">
        <v>224</v>
      </c>
      <c r="G94" s="15" t="inlineStr">
        <is>
          <t>Yes</t>
        </is>
      </c>
      <c r="H94" s="16" t="inlineStr">
        <is>
          <t>FIVE_POINT</t>
        </is>
      </c>
      <c r="I94" s="15" t="inlineStr">
        <is>
          <t>NOT ASSESSED</t>
        </is>
      </c>
      <c r="J94" s="16" t="inlineStr"/>
      <c r="K94" s="16" t="inlineStr">
        <is>
          <t>No</t>
        </is>
      </c>
      <c r="L94" s="16" t="n">
        <v>5</v>
      </c>
      <c r="M94" s="16">
        <f>IF(AND(K94="Yes",I94="NOT MET",J94="PARTIALLY IMPLEMENTED"),"Yes","No")</f>
        <v/>
      </c>
      <c r="N94" s="16">
        <f>IF(OR(I94="MET",I94="NOT APPLICABLE",I94="NOT ASSESSED"),0,IF(AND(K94="Yes",J94="PARTIALLY IMPLEMENTED"),3,L94))</f>
        <v/>
      </c>
      <c r="O94" s="15" t="inlineStr">
        <is>
          <t>Not Started</t>
        </is>
      </c>
      <c r="P94" s="15" t="inlineStr"/>
      <c r="Q94" s="15" t="inlineStr"/>
      <c r="R94" s="15" t="inlineStr"/>
      <c r="S94" s="16">
        <f>IF(I94="NOT MET","Yes","No")</f>
        <v/>
      </c>
      <c r="T94" s="16" t="inlineStr"/>
      <c r="U94" s="16" t="inlineStr">
        <is>
          <t>32 CFR 170.24(c)(2) | Current eCFR</t>
        </is>
      </c>
      <c r="V94" s="16">
        <f>IF(I94="MET","Requirement assessed MET; no deduction.",IF(I94="NOT APPLICABLE","Requirement assessed NOT APPLICABLE; no deduction.",IF(I94="NOT ASSESSED","Requirement not assessed; score remains provisional.",IF(M94="Yes","Partial-credit condition applied; 3 points deducted.","Requirement assessed NOT MET; "&amp;L94&amp;" points deducted."))))</f>
        <v/>
      </c>
    </row>
    <row r="95">
      <c r="A95" s="14" t="inlineStr">
        <is>
          <t>SC</t>
        </is>
      </c>
      <c r="B95" s="14" t="inlineStr">
        <is>
          <t>SC.L2-3.13.3</t>
        </is>
      </c>
      <c r="C95" s="14" t="inlineStr">
        <is>
          <t>Role Separation</t>
        </is>
      </c>
      <c r="D95" s="14" t="inlineStr">
        <is>
          <t>Separate user functionality from system management functionality.</t>
        </is>
      </c>
      <c r="E95" s="14" t="n">
        <v>225</v>
      </c>
      <c r="F95" s="14" t="n">
        <v>226</v>
      </c>
      <c r="G95" s="15" t="inlineStr">
        <is>
          <t>Yes</t>
        </is>
      </c>
      <c r="H95" s="16" t="inlineStr">
        <is>
          <t>ONE_POINT</t>
        </is>
      </c>
      <c r="I95" s="15" t="inlineStr">
        <is>
          <t>NOT ASSESSED</t>
        </is>
      </c>
      <c r="J95" s="16" t="inlineStr"/>
      <c r="K95" s="16" t="inlineStr">
        <is>
          <t>No</t>
        </is>
      </c>
      <c r="L95" s="16" t="n">
        <v>1</v>
      </c>
      <c r="M95" s="16">
        <f>IF(AND(K95="Yes",I95="NOT MET",J95="PARTIALLY IMPLEMENTED"),"Yes","No")</f>
        <v/>
      </c>
      <c r="N95" s="16">
        <f>IF(OR(I95="MET",I95="NOT APPLICABLE",I95="NOT ASSESSED"),0,IF(AND(K95="Yes",J95="PARTIALLY IMPLEMENTED"),3,L95))</f>
        <v/>
      </c>
      <c r="O95" s="15" t="inlineStr">
        <is>
          <t>Not Started</t>
        </is>
      </c>
      <c r="P95" s="15" t="inlineStr"/>
      <c r="Q95" s="15" t="inlineStr"/>
      <c r="R95" s="15" t="inlineStr"/>
      <c r="S95" s="16">
        <f>IF(I95="NOT MET","Yes","No")</f>
        <v/>
      </c>
      <c r="T95" s="16" t="inlineStr"/>
      <c r="U95" s="16" t="inlineStr">
        <is>
          <t>32 CFR 170.24(c)(2) | Current eCFR</t>
        </is>
      </c>
      <c r="V95" s="16">
        <f>IF(I95="MET","Requirement assessed MET; no deduction.",IF(I95="NOT APPLICABLE","Requirement assessed NOT APPLICABLE; no deduction.",IF(I95="NOT ASSESSED","Requirement not assessed; score remains provisional.",IF(M95="Yes","Partial-credit condition applied; 3 points deducted.","Requirement assessed NOT MET; "&amp;L95&amp;" points deducted."))))</f>
        <v/>
      </c>
    </row>
    <row r="96">
      <c r="A96" s="14" t="inlineStr">
        <is>
          <t>SC</t>
        </is>
      </c>
      <c r="B96" s="14" t="inlineStr">
        <is>
          <t>SC.L2-3.13.4</t>
        </is>
      </c>
      <c r="C96" s="14" t="inlineStr">
        <is>
          <t>Shared Resource Control</t>
        </is>
      </c>
      <c r="D96" s="14" t="inlineStr">
        <is>
          <t>Prevent unauthorized and unintended information transfer via shared system resources.</t>
        </is>
      </c>
      <c r="E96" s="14" t="n">
        <v>227</v>
      </c>
      <c r="F96" s="14" t="n">
        <v>228</v>
      </c>
      <c r="G96" s="15" t="inlineStr">
        <is>
          <t>Yes</t>
        </is>
      </c>
      <c r="H96" s="16" t="inlineStr">
        <is>
          <t>ONE_POINT</t>
        </is>
      </c>
      <c r="I96" s="15" t="inlineStr">
        <is>
          <t>NOT ASSESSED</t>
        </is>
      </c>
      <c r="J96" s="16" t="inlineStr"/>
      <c r="K96" s="16" t="inlineStr">
        <is>
          <t>No</t>
        </is>
      </c>
      <c r="L96" s="16" t="n">
        <v>1</v>
      </c>
      <c r="M96" s="16">
        <f>IF(AND(K96="Yes",I96="NOT MET",J96="PARTIALLY IMPLEMENTED"),"Yes","No")</f>
        <v/>
      </c>
      <c r="N96" s="16">
        <f>IF(OR(I96="MET",I96="NOT APPLICABLE",I96="NOT ASSESSED"),0,IF(AND(K96="Yes",J96="PARTIALLY IMPLEMENTED"),3,L96))</f>
        <v/>
      </c>
      <c r="O96" s="15" t="inlineStr">
        <is>
          <t>Not Started</t>
        </is>
      </c>
      <c r="P96" s="15" t="inlineStr"/>
      <c r="Q96" s="15" t="inlineStr"/>
      <c r="R96" s="15" t="inlineStr"/>
      <c r="S96" s="16">
        <f>IF(I96="NOT MET","Yes","No")</f>
        <v/>
      </c>
      <c r="T96" s="16" t="inlineStr"/>
      <c r="U96" s="16" t="inlineStr">
        <is>
          <t>32 CFR 170.24(c)(2) | Current eCFR</t>
        </is>
      </c>
      <c r="V96" s="16">
        <f>IF(I96="MET","Requirement assessed MET; no deduction.",IF(I96="NOT APPLICABLE","Requirement assessed NOT APPLICABLE; no deduction.",IF(I96="NOT ASSESSED","Requirement not assessed; score remains provisional.",IF(M96="Yes","Partial-credit condition applied; 3 points deducted.","Requirement assessed NOT MET; "&amp;L96&amp;" points deducted."))))</f>
        <v/>
      </c>
    </row>
    <row r="97">
      <c r="A97" s="14" t="inlineStr">
        <is>
          <t>SC</t>
        </is>
      </c>
      <c r="B97" s="14" t="inlineStr">
        <is>
          <t>SC.L2-3.13.5</t>
        </is>
      </c>
      <c r="C97" s="14" t="inlineStr">
        <is>
          <t>Public-Access System Separation [CUI Data]</t>
        </is>
      </c>
      <c r="D97" s="14" t="inlineStr">
        <is>
          <t>Implement subnetworks for publicly accessible system components that are physically or logically separated from internal networks.</t>
        </is>
      </c>
      <c r="E97" s="14" t="n">
        <v>229</v>
      </c>
      <c r="F97" s="14" t="n">
        <v>230</v>
      </c>
      <c r="G97" s="15" t="inlineStr">
        <is>
          <t>Yes</t>
        </is>
      </c>
      <c r="H97" s="16" t="inlineStr">
        <is>
          <t>FIVE_POINT</t>
        </is>
      </c>
      <c r="I97" s="15" t="inlineStr">
        <is>
          <t>NOT ASSESSED</t>
        </is>
      </c>
      <c r="J97" s="16" t="inlineStr"/>
      <c r="K97" s="16" t="inlineStr">
        <is>
          <t>No</t>
        </is>
      </c>
      <c r="L97" s="16" t="n">
        <v>5</v>
      </c>
      <c r="M97" s="16">
        <f>IF(AND(K97="Yes",I97="NOT MET",J97="PARTIALLY IMPLEMENTED"),"Yes","No")</f>
        <v/>
      </c>
      <c r="N97" s="16">
        <f>IF(OR(I97="MET",I97="NOT APPLICABLE",I97="NOT ASSESSED"),0,IF(AND(K97="Yes",J97="PARTIALLY IMPLEMENTED"),3,L97))</f>
        <v/>
      </c>
      <c r="O97" s="15" t="inlineStr">
        <is>
          <t>Not Started</t>
        </is>
      </c>
      <c r="P97" s="15" t="inlineStr"/>
      <c r="Q97" s="15" t="inlineStr"/>
      <c r="R97" s="15" t="inlineStr"/>
      <c r="S97" s="16">
        <f>IF(I97="NOT MET","Yes","No")</f>
        <v/>
      </c>
      <c r="T97" s="16" t="inlineStr"/>
      <c r="U97" s="16" t="inlineStr">
        <is>
          <t>32 CFR 170.24(c)(2) | Current eCFR</t>
        </is>
      </c>
      <c r="V97" s="16">
        <f>IF(I97="MET","Requirement assessed MET; no deduction.",IF(I97="NOT APPLICABLE","Requirement assessed NOT APPLICABLE; no deduction.",IF(I97="NOT ASSESSED","Requirement not assessed; score remains provisional.",IF(M97="Yes","Partial-credit condition applied; 3 points deducted.","Requirement assessed NOT MET; "&amp;L97&amp;" points deducted."))))</f>
        <v/>
      </c>
    </row>
    <row r="98">
      <c r="A98" s="14" t="inlineStr">
        <is>
          <t>SC</t>
        </is>
      </c>
      <c r="B98" s="14" t="inlineStr">
        <is>
          <t>SC.L2-3.13.6</t>
        </is>
      </c>
      <c r="C98" s="14" t="inlineStr">
        <is>
          <t>Network Communication by Exception</t>
        </is>
      </c>
      <c r="D98" s="14" t="inlineStr">
        <is>
          <t>Deny network communications traffic by default and allow network communications traffic by exception (i.e., deny all, permit by exception).</t>
        </is>
      </c>
      <c r="E98" s="14" t="n">
        <v>231</v>
      </c>
      <c r="F98" s="14" t="n">
        <v>232</v>
      </c>
      <c r="G98" s="15" t="inlineStr">
        <is>
          <t>Yes</t>
        </is>
      </c>
      <c r="H98" s="16" t="inlineStr">
        <is>
          <t>FIVE_POINT</t>
        </is>
      </c>
      <c r="I98" s="15" t="inlineStr">
        <is>
          <t>NOT ASSESSED</t>
        </is>
      </c>
      <c r="J98" s="16" t="inlineStr"/>
      <c r="K98" s="16" t="inlineStr">
        <is>
          <t>No</t>
        </is>
      </c>
      <c r="L98" s="16" t="n">
        <v>5</v>
      </c>
      <c r="M98" s="16">
        <f>IF(AND(K98="Yes",I98="NOT MET",J98="PARTIALLY IMPLEMENTED"),"Yes","No")</f>
        <v/>
      </c>
      <c r="N98" s="16">
        <f>IF(OR(I98="MET",I98="NOT APPLICABLE",I98="NOT ASSESSED"),0,IF(AND(K98="Yes",J98="PARTIALLY IMPLEMENTED"),3,L98))</f>
        <v/>
      </c>
      <c r="O98" s="15" t="inlineStr">
        <is>
          <t>Not Started</t>
        </is>
      </c>
      <c r="P98" s="15" t="inlineStr"/>
      <c r="Q98" s="15" t="inlineStr"/>
      <c r="R98" s="15" t="inlineStr"/>
      <c r="S98" s="16">
        <f>IF(I98="NOT MET","Yes","No")</f>
        <v/>
      </c>
      <c r="T98" s="16" t="inlineStr"/>
      <c r="U98" s="16" t="inlineStr">
        <is>
          <t>32 CFR 170.24(c)(2) | Current eCFR</t>
        </is>
      </c>
      <c r="V98" s="16">
        <f>IF(I98="MET","Requirement assessed MET; no deduction.",IF(I98="NOT APPLICABLE","Requirement assessed NOT APPLICABLE; no deduction.",IF(I98="NOT ASSESSED","Requirement not assessed; score remains provisional.",IF(M98="Yes","Partial-credit condition applied; 3 points deducted.","Requirement assessed NOT MET; "&amp;L98&amp;" points deducted."))))</f>
        <v/>
      </c>
    </row>
    <row r="99">
      <c r="A99" s="14" t="inlineStr">
        <is>
          <t>SC</t>
        </is>
      </c>
      <c r="B99" s="14" t="inlineStr">
        <is>
          <t>SC.L2-3.13.7</t>
        </is>
      </c>
      <c r="C99" s="14" t="inlineStr">
        <is>
          <t>Split Tunneling</t>
        </is>
      </c>
      <c r="D99" s="14" t="inlineStr">
        <is>
          <t>Prevent remote devices from simultaneously establishing non- remote connections with organizational systems and communicating via some other connection to resources in external networks (i.e., split tunneling).</t>
        </is>
      </c>
      <c r="E99" s="14" t="n">
        <v>233</v>
      </c>
      <c r="F99" s="14" t="n">
        <v>234</v>
      </c>
      <c r="G99" s="15" t="inlineStr">
        <is>
          <t>Yes</t>
        </is>
      </c>
      <c r="H99" s="16" t="inlineStr">
        <is>
          <t>ONE_POINT</t>
        </is>
      </c>
      <c r="I99" s="15" t="inlineStr">
        <is>
          <t>NOT ASSESSED</t>
        </is>
      </c>
      <c r="J99" s="16" t="inlineStr"/>
      <c r="K99" s="16" t="inlineStr">
        <is>
          <t>No</t>
        </is>
      </c>
      <c r="L99" s="16" t="n">
        <v>1</v>
      </c>
      <c r="M99" s="16">
        <f>IF(AND(K99="Yes",I99="NOT MET",J99="PARTIALLY IMPLEMENTED"),"Yes","No")</f>
        <v/>
      </c>
      <c r="N99" s="16">
        <f>IF(OR(I99="MET",I99="NOT APPLICABLE",I99="NOT ASSESSED"),0,IF(AND(K99="Yes",J99="PARTIALLY IMPLEMENTED"),3,L99))</f>
        <v/>
      </c>
      <c r="O99" s="15" t="inlineStr">
        <is>
          <t>Not Started</t>
        </is>
      </c>
      <c r="P99" s="15" t="inlineStr"/>
      <c r="Q99" s="15" t="inlineStr"/>
      <c r="R99" s="15" t="inlineStr"/>
      <c r="S99" s="16">
        <f>IF(I99="NOT MET","Yes","No")</f>
        <v/>
      </c>
      <c r="T99" s="16" t="inlineStr"/>
      <c r="U99" s="16" t="inlineStr">
        <is>
          <t>32 CFR 170.24(c)(2) | Current eCFR</t>
        </is>
      </c>
      <c r="V99" s="16">
        <f>IF(I99="MET","Requirement assessed MET; no deduction.",IF(I99="NOT APPLICABLE","Requirement assessed NOT APPLICABLE; no deduction.",IF(I99="NOT ASSESSED","Requirement not assessed; score remains provisional.",IF(M99="Yes","Partial-credit condition applied; 3 points deducted.","Requirement assessed NOT MET; "&amp;L99&amp;" points deducted."))))</f>
        <v/>
      </c>
    </row>
    <row r="100">
      <c r="A100" s="14" t="inlineStr">
        <is>
          <t>SC</t>
        </is>
      </c>
      <c r="B100" s="14" t="inlineStr">
        <is>
          <t>SC.L2-3.13.8</t>
        </is>
      </c>
      <c r="C100" s="14" t="inlineStr">
        <is>
          <t>Data in Transit</t>
        </is>
      </c>
      <c r="D100" s="14" t="inlineStr">
        <is>
          <t>Implement cryptographic mechanisms to prevent unauthorized disclosure of CUI during transmission unless otherwise protected by alternative physical safeguards.</t>
        </is>
      </c>
      <c r="E100" s="14" t="n">
        <v>235</v>
      </c>
      <c r="F100" s="14" t="n">
        <v>236</v>
      </c>
      <c r="G100" s="15" t="inlineStr">
        <is>
          <t>Yes</t>
        </is>
      </c>
      <c r="H100" s="16" t="inlineStr">
        <is>
          <t>THREE_POINT</t>
        </is>
      </c>
      <c r="I100" s="15" t="inlineStr">
        <is>
          <t>NOT ASSESSED</t>
        </is>
      </c>
      <c r="J100" s="16" t="inlineStr"/>
      <c r="K100" s="16" t="inlineStr">
        <is>
          <t>No</t>
        </is>
      </c>
      <c r="L100" s="16" t="n">
        <v>3</v>
      </c>
      <c r="M100" s="16">
        <f>IF(AND(K100="Yes",I100="NOT MET",J100="PARTIALLY IMPLEMENTED"),"Yes","No")</f>
        <v/>
      </c>
      <c r="N100" s="16">
        <f>IF(OR(I100="MET",I100="NOT APPLICABLE",I100="NOT ASSESSED"),0,IF(AND(K100="Yes",J100="PARTIALLY IMPLEMENTED"),3,L100))</f>
        <v/>
      </c>
      <c r="O100" s="15" t="inlineStr">
        <is>
          <t>Not Started</t>
        </is>
      </c>
      <c r="P100" s="15" t="inlineStr"/>
      <c r="Q100" s="15" t="inlineStr"/>
      <c r="R100" s="15" t="inlineStr"/>
      <c r="S100" s="16">
        <f>IF(I100="NOT MET","Yes","No")</f>
        <v/>
      </c>
      <c r="T100" s="16" t="inlineStr"/>
      <c r="U100" s="16" t="inlineStr">
        <is>
          <t>32 CFR 170.24(c)(2) | Current eCFR</t>
        </is>
      </c>
      <c r="V100" s="16">
        <f>IF(I100="MET","Requirement assessed MET; no deduction.",IF(I100="NOT APPLICABLE","Requirement assessed NOT APPLICABLE; no deduction.",IF(I100="NOT ASSESSED","Requirement not assessed; score remains provisional.",IF(M100="Yes","Partial-credit condition applied; 3 points deducted.","Requirement assessed NOT MET; "&amp;L100&amp;" points deducted."))))</f>
        <v/>
      </c>
    </row>
    <row r="101">
      <c r="A101" s="14" t="inlineStr">
        <is>
          <t>SC</t>
        </is>
      </c>
      <c r="B101" s="14" t="inlineStr">
        <is>
          <t>SC.L2-3.13.9</t>
        </is>
      </c>
      <c r="C101" s="14" t="inlineStr">
        <is>
          <t>Connections Termination</t>
        </is>
      </c>
      <c r="D101" s="14" t="inlineStr">
        <is>
          <t>Terminate network connections associated with communications sessions at the end of the sessions or after a defined period of inactivity.</t>
        </is>
      </c>
      <c r="E101" s="14" t="n">
        <v>237</v>
      </c>
      <c r="F101" s="14" t="n">
        <v>238</v>
      </c>
      <c r="G101" s="15" t="inlineStr">
        <is>
          <t>Yes</t>
        </is>
      </c>
      <c r="H101" s="16" t="inlineStr">
        <is>
          <t>ONE_POINT</t>
        </is>
      </c>
      <c r="I101" s="15" t="inlineStr">
        <is>
          <t>NOT ASSESSED</t>
        </is>
      </c>
      <c r="J101" s="16" t="inlineStr"/>
      <c r="K101" s="16" t="inlineStr">
        <is>
          <t>No</t>
        </is>
      </c>
      <c r="L101" s="16" t="n">
        <v>1</v>
      </c>
      <c r="M101" s="16">
        <f>IF(AND(K101="Yes",I101="NOT MET",J101="PARTIALLY IMPLEMENTED"),"Yes","No")</f>
        <v/>
      </c>
      <c r="N101" s="16">
        <f>IF(OR(I101="MET",I101="NOT APPLICABLE",I101="NOT ASSESSED"),0,IF(AND(K101="Yes",J101="PARTIALLY IMPLEMENTED"),3,L101))</f>
        <v/>
      </c>
      <c r="O101" s="15" t="inlineStr">
        <is>
          <t>Not Started</t>
        </is>
      </c>
      <c r="P101" s="15" t="inlineStr"/>
      <c r="Q101" s="15" t="inlineStr"/>
      <c r="R101" s="15" t="inlineStr"/>
      <c r="S101" s="16">
        <f>IF(I101="NOT MET","Yes","No")</f>
        <v/>
      </c>
      <c r="T101" s="16" t="inlineStr"/>
      <c r="U101" s="16" t="inlineStr">
        <is>
          <t>32 CFR 170.24(c)(2) | Current eCFR</t>
        </is>
      </c>
      <c r="V101" s="16">
        <f>IF(I101="MET","Requirement assessed MET; no deduction.",IF(I101="NOT APPLICABLE","Requirement assessed NOT APPLICABLE; no deduction.",IF(I101="NOT ASSESSED","Requirement not assessed; score remains provisional.",IF(M101="Yes","Partial-credit condition applied; 3 points deducted.","Requirement assessed NOT MET; "&amp;L101&amp;" points deducted."))))</f>
        <v/>
      </c>
    </row>
    <row r="102">
      <c r="A102" s="14" t="inlineStr">
        <is>
          <t>SC</t>
        </is>
      </c>
      <c r="B102" s="14" t="inlineStr">
        <is>
          <t>SC.L2-3.13.10</t>
        </is>
      </c>
      <c r="C102" s="14" t="inlineStr">
        <is>
          <t>Key Management</t>
        </is>
      </c>
      <c r="D102" s="14" t="inlineStr">
        <is>
          <t>Establish and manage cryptographic keys for cryptography employed in organizational systems.</t>
        </is>
      </c>
      <c r="E102" s="14" t="n">
        <v>239</v>
      </c>
      <c r="F102" s="14" t="n">
        <v>241</v>
      </c>
      <c r="G102" s="15" t="inlineStr">
        <is>
          <t>Yes</t>
        </is>
      </c>
      <c r="H102" s="16" t="inlineStr">
        <is>
          <t>ONE_POINT</t>
        </is>
      </c>
      <c r="I102" s="15" t="inlineStr">
        <is>
          <t>NOT ASSESSED</t>
        </is>
      </c>
      <c r="J102" s="16" t="inlineStr"/>
      <c r="K102" s="16" t="inlineStr">
        <is>
          <t>No</t>
        </is>
      </c>
      <c r="L102" s="16" t="n">
        <v>1</v>
      </c>
      <c r="M102" s="16">
        <f>IF(AND(K102="Yes",I102="NOT MET",J102="PARTIALLY IMPLEMENTED"),"Yes","No")</f>
        <v/>
      </c>
      <c r="N102" s="16">
        <f>IF(OR(I102="MET",I102="NOT APPLICABLE",I102="NOT ASSESSED"),0,IF(AND(K102="Yes",J102="PARTIALLY IMPLEMENTED"),3,L102))</f>
        <v/>
      </c>
      <c r="O102" s="15" t="inlineStr">
        <is>
          <t>Not Started</t>
        </is>
      </c>
      <c r="P102" s="15" t="inlineStr"/>
      <c r="Q102" s="15" t="inlineStr"/>
      <c r="R102" s="15" t="inlineStr"/>
      <c r="S102" s="16">
        <f>IF(I102="NOT MET","Yes","No")</f>
        <v/>
      </c>
      <c r="T102" s="16" t="inlineStr"/>
      <c r="U102" s="16" t="inlineStr">
        <is>
          <t>32 CFR 170.24(c)(2) | Current eCFR</t>
        </is>
      </c>
      <c r="V102" s="16">
        <f>IF(I102="MET","Requirement assessed MET; no deduction.",IF(I102="NOT APPLICABLE","Requirement assessed NOT APPLICABLE; no deduction.",IF(I102="NOT ASSESSED","Requirement not assessed; score remains provisional.",IF(M102="Yes","Partial-credit condition applied; 3 points deducted.","Requirement assessed NOT MET; "&amp;L102&amp;" points deducted."))))</f>
        <v/>
      </c>
    </row>
    <row r="103">
      <c r="A103" s="14" t="inlineStr">
        <is>
          <t>SC</t>
        </is>
      </c>
      <c r="B103" s="14" t="inlineStr">
        <is>
          <t>SC.L2-3.13.11</t>
        </is>
      </c>
      <c r="C103" s="14" t="inlineStr">
        <is>
          <t>CUI Encryption</t>
        </is>
      </c>
      <c r="D103" s="14" t="inlineStr">
        <is>
          <t>Employ FIPS-validated cryptography when used to protect the confidentiality of CUI.</t>
        </is>
      </c>
      <c r="E103" s="14" t="n">
        <v>242</v>
      </c>
      <c r="F103" s="14" t="n">
        <v>243</v>
      </c>
      <c r="G103" s="15" t="inlineStr">
        <is>
          <t>Yes</t>
        </is>
      </c>
      <c r="H103" s="16" t="inlineStr">
        <is>
          <t>PARTIAL_3_OR_5</t>
        </is>
      </c>
      <c r="I103" s="15" t="inlineStr">
        <is>
          <t>NOT ASSESSED</t>
        </is>
      </c>
      <c r="J103" s="15" t="inlineStr">
        <is>
          <t>NOT ASSESSED</t>
        </is>
      </c>
      <c r="K103" s="16" t="inlineStr">
        <is>
          <t>Yes</t>
        </is>
      </c>
      <c r="L103" s="16" t="n">
        <v>5</v>
      </c>
      <c r="M103" s="16">
        <f>IF(AND(K103="Yes",I103="NOT MET",J103="PARTIALLY IMPLEMENTED"),"Yes","No")</f>
        <v/>
      </c>
      <c r="N103" s="16">
        <f>IF(OR(I103="MET",I103="NOT APPLICABLE",I103="NOT ASSESSED"),0,IF(AND(K103="Yes",J103="PARTIALLY IMPLEMENTED"),3,L103))</f>
        <v/>
      </c>
      <c r="O103" s="15" t="inlineStr">
        <is>
          <t>Not Started</t>
        </is>
      </c>
      <c r="P103" s="15" t="inlineStr"/>
      <c r="Q103" s="15" t="inlineStr"/>
      <c r="R103" s="15" t="inlineStr"/>
      <c r="S103" s="16">
        <f>IF(I103="NOT MET","Yes","No")</f>
        <v/>
      </c>
      <c r="T103" s="16" t="inlineStr">
        <is>
          <t>Encryption is employed, but it is not FIPS-validated.</t>
        </is>
      </c>
      <c r="U103" s="16" t="inlineStr">
        <is>
          <t>32 CFR 170.24(c)(2) | Current eCFR</t>
        </is>
      </c>
      <c r="V103" s="16">
        <f>IF(I103="MET","Requirement assessed MET; no deduction.",IF(I103="NOT APPLICABLE","Requirement assessed NOT APPLICABLE; no deduction.",IF(I103="NOT ASSESSED","Requirement not assessed; score remains provisional.",IF(M103="Yes","Partial-credit condition applied; 3 points deducted.","Requirement assessed NOT MET; "&amp;L103&amp;" points deducted."))))</f>
        <v/>
      </c>
    </row>
    <row r="104">
      <c r="A104" s="14" t="inlineStr">
        <is>
          <t>SC</t>
        </is>
      </c>
      <c r="B104" s="14" t="inlineStr">
        <is>
          <t>SC.L2-3.13.12</t>
        </is>
      </c>
      <c r="C104" s="14" t="inlineStr">
        <is>
          <t>Collaborative Device Control</t>
        </is>
      </c>
      <c r="D104" s="14" t="inlineStr">
        <is>
          <t>Prohibit remote activation of collaborative computing devices and provide indication of devices in use to users present at the device.</t>
        </is>
      </c>
      <c r="E104" s="14" t="n">
        <v>244</v>
      </c>
      <c r="F104" s="14" t="n">
        <v>245</v>
      </c>
      <c r="G104" s="15" t="inlineStr">
        <is>
          <t>Yes</t>
        </is>
      </c>
      <c r="H104" s="16" t="inlineStr">
        <is>
          <t>ONE_POINT</t>
        </is>
      </c>
      <c r="I104" s="15" t="inlineStr">
        <is>
          <t>NOT ASSESSED</t>
        </is>
      </c>
      <c r="J104" s="16" t="inlineStr"/>
      <c r="K104" s="16" t="inlineStr">
        <is>
          <t>No</t>
        </is>
      </c>
      <c r="L104" s="16" t="n">
        <v>1</v>
      </c>
      <c r="M104" s="16">
        <f>IF(AND(K104="Yes",I104="NOT MET",J104="PARTIALLY IMPLEMENTED"),"Yes","No")</f>
        <v/>
      </c>
      <c r="N104" s="16">
        <f>IF(OR(I104="MET",I104="NOT APPLICABLE",I104="NOT ASSESSED"),0,IF(AND(K104="Yes",J104="PARTIALLY IMPLEMENTED"),3,L104))</f>
        <v/>
      </c>
      <c r="O104" s="15" t="inlineStr">
        <is>
          <t>Not Started</t>
        </is>
      </c>
      <c r="P104" s="15" t="inlineStr"/>
      <c r="Q104" s="15" t="inlineStr"/>
      <c r="R104" s="15" t="inlineStr"/>
      <c r="S104" s="16">
        <f>IF(I104="NOT MET","Yes","No")</f>
        <v/>
      </c>
      <c r="T104" s="16" t="inlineStr"/>
      <c r="U104" s="16" t="inlineStr">
        <is>
          <t>32 CFR 170.24(c)(2) | Current eCFR</t>
        </is>
      </c>
      <c r="V104" s="16">
        <f>IF(I104="MET","Requirement assessed MET; no deduction.",IF(I104="NOT APPLICABLE","Requirement assessed NOT APPLICABLE; no deduction.",IF(I104="NOT ASSESSED","Requirement not assessed; score remains provisional.",IF(M104="Yes","Partial-credit condition applied; 3 points deducted.","Requirement assessed NOT MET; "&amp;L104&amp;" points deducted."))))</f>
        <v/>
      </c>
    </row>
    <row r="105">
      <c r="A105" s="14" t="inlineStr">
        <is>
          <t>SC</t>
        </is>
      </c>
      <c r="B105" s="14" t="inlineStr">
        <is>
          <t>SC.L2-3.13.13</t>
        </is>
      </c>
      <c r="C105" s="14" t="inlineStr">
        <is>
          <t>Mobile Code</t>
        </is>
      </c>
      <c r="D105" s="14" t="inlineStr">
        <is>
          <t>Control and monitor the use of mobile code.</t>
        </is>
      </c>
      <c r="E105" s="14" t="n">
        <v>246</v>
      </c>
      <c r="F105" s="14" t="n">
        <v>247</v>
      </c>
      <c r="G105" s="15" t="inlineStr">
        <is>
          <t>Yes</t>
        </is>
      </c>
      <c r="H105" s="16" t="inlineStr">
        <is>
          <t>ONE_POINT</t>
        </is>
      </c>
      <c r="I105" s="15" t="inlineStr">
        <is>
          <t>NOT ASSESSED</t>
        </is>
      </c>
      <c r="J105" s="16" t="inlineStr"/>
      <c r="K105" s="16" t="inlineStr">
        <is>
          <t>No</t>
        </is>
      </c>
      <c r="L105" s="16" t="n">
        <v>1</v>
      </c>
      <c r="M105" s="16">
        <f>IF(AND(K105="Yes",I105="NOT MET",J105="PARTIALLY IMPLEMENTED"),"Yes","No")</f>
        <v/>
      </c>
      <c r="N105" s="16">
        <f>IF(OR(I105="MET",I105="NOT APPLICABLE",I105="NOT ASSESSED"),0,IF(AND(K105="Yes",J105="PARTIALLY IMPLEMENTED"),3,L105))</f>
        <v/>
      </c>
      <c r="O105" s="15" t="inlineStr">
        <is>
          <t>Not Started</t>
        </is>
      </c>
      <c r="P105" s="15" t="inlineStr"/>
      <c r="Q105" s="15" t="inlineStr"/>
      <c r="R105" s="15" t="inlineStr"/>
      <c r="S105" s="16">
        <f>IF(I105="NOT MET","Yes","No")</f>
        <v/>
      </c>
      <c r="T105" s="16" t="inlineStr"/>
      <c r="U105" s="16" t="inlineStr">
        <is>
          <t>32 CFR 170.24(c)(2) | Current eCFR</t>
        </is>
      </c>
      <c r="V105" s="16">
        <f>IF(I105="MET","Requirement assessed MET; no deduction.",IF(I105="NOT APPLICABLE","Requirement assessed NOT APPLICABLE; no deduction.",IF(I105="NOT ASSESSED","Requirement not assessed; score remains provisional.",IF(M105="Yes","Partial-credit condition applied; 3 points deducted.","Requirement assessed NOT MET; "&amp;L105&amp;" points deducted."))))</f>
        <v/>
      </c>
    </row>
    <row r="106">
      <c r="A106" s="14" t="inlineStr">
        <is>
          <t>SC</t>
        </is>
      </c>
      <c r="B106" s="14" t="inlineStr">
        <is>
          <t>SC.L2-3.13.14</t>
        </is>
      </c>
      <c r="C106" s="14" t="inlineStr">
        <is>
          <t>Voice over Internet Protocol</t>
        </is>
      </c>
      <c r="D106" s="14" t="inlineStr">
        <is>
          <t>Control and monitor the use of Voice over Internet Protocol (VoIP) technologies.</t>
        </is>
      </c>
      <c r="E106" s="14" t="n">
        <v>248</v>
      </c>
      <c r="F106" s="14" t="n">
        <v>249</v>
      </c>
      <c r="G106" s="15" t="inlineStr">
        <is>
          <t>Yes</t>
        </is>
      </c>
      <c r="H106" s="16" t="inlineStr">
        <is>
          <t>ONE_POINT</t>
        </is>
      </c>
      <c r="I106" s="15" t="inlineStr">
        <is>
          <t>NOT ASSESSED</t>
        </is>
      </c>
      <c r="J106" s="16" t="inlineStr"/>
      <c r="K106" s="16" t="inlineStr">
        <is>
          <t>No</t>
        </is>
      </c>
      <c r="L106" s="16" t="n">
        <v>1</v>
      </c>
      <c r="M106" s="16">
        <f>IF(AND(K106="Yes",I106="NOT MET",J106="PARTIALLY IMPLEMENTED"),"Yes","No")</f>
        <v/>
      </c>
      <c r="N106" s="16">
        <f>IF(OR(I106="MET",I106="NOT APPLICABLE",I106="NOT ASSESSED"),0,IF(AND(K106="Yes",J106="PARTIALLY IMPLEMENTED"),3,L106))</f>
        <v/>
      </c>
      <c r="O106" s="15" t="inlineStr">
        <is>
          <t>Not Started</t>
        </is>
      </c>
      <c r="P106" s="15" t="inlineStr"/>
      <c r="Q106" s="15" t="inlineStr"/>
      <c r="R106" s="15" t="inlineStr"/>
      <c r="S106" s="16">
        <f>IF(I106="NOT MET","Yes","No")</f>
        <v/>
      </c>
      <c r="T106" s="16" t="inlineStr"/>
      <c r="U106" s="16" t="inlineStr">
        <is>
          <t>32 CFR 170.24(c)(2) | Current eCFR</t>
        </is>
      </c>
      <c r="V106" s="16">
        <f>IF(I106="MET","Requirement assessed MET; no deduction.",IF(I106="NOT APPLICABLE","Requirement assessed NOT APPLICABLE; no deduction.",IF(I106="NOT ASSESSED","Requirement not assessed; score remains provisional.",IF(M106="Yes","Partial-credit condition applied; 3 points deducted.","Requirement assessed NOT MET; "&amp;L106&amp;" points deducted."))))</f>
        <v/>
      </c>
    </row>
    <row r="107">
      <c r="A107" s="14" t="inlineStr">
        <is>
          <t>SC</t>
        </is>
      </c>
      <c r="B107" s="14" t="inlineStr">
        <is>
          <t>SC.L2-3.13.15</t>
        </is>
      </c>
      <c r="C107" s="14" t="inlineStr">
        <is>
          <t>Communications Authenticity</t>
        </is>
      </c>
      <c r="D107" s="14" t="inlineStr">
        <is>
          <t>Protect the authenticity of communications sessions.</t>
        </is>
      </c>
      <c r="E107" s="14" t="n">
        <v>250</v>
      </c>
      <c r="F107" s="14" t="n">
        <v>251</v>
      </c>
      <c r="G107" s="15" t="inlineStr">
        <is>
          <t>Yes</t>
        </is>
      </c>
      <c r="H107" s="16" t="inlineStr">
        <is>
          <t>FIVE_POINT</t>
        </is>
      </c>
      <c r="I107" s="15" t="inlineStr">
        <is>
          <t>NOT ASSESSED</t>
        </is>
      </c>
      <c r="J107" s="16" t="inlineStr"/>
      <c r="K107" s="16" t="inlineStr">
        <is>
          <t>No</t>
        </is>
      </c>
      <c r="L107" s="16" t="n">
        <v>5</v>
      </c>
      <c r="M107" s="16">
        <f>IF(AND(K107="Yes",I107="NOT MET",J107="PARTIALLY IMPLEMENTED"),"Yes","No")</f>
        <v/>
      </c>
      <c r="N107" s="16">
        <f>IF(OR(I107="MET",I107="NOT APPLICABLE",I107="NOT ASSESSED"),0,IF(AND(K107="Yes",J107="PARTIALLY IMPLEMENTED"),3,L107))</f>
        <v/>
      </c>
      <c r="O107" s="15" t="inlineStr">
        <is>
          <t>Not Started</t>
        </is>
      </c>
      <c r="P107" s="15" t="inlineStr"/>
      <c r="Q107" s="15" t="inlineStr"/>
      <c r="R107" s="15" t="inlineStr"/>
      <c r="S107" s="16">
        <f>IF(I107="NOT MET","Yes","No")</f>
        <v/>
      </c>
      <c r="T107" s="16" t="inlineStr"/>
      <c r="U107" s="16" t="inlineStr">
        <is>
          <t>32 CFR 170.24(c)(2) | Current eCFR</t>
        </is>
      </c>
      <c r="V107" s="16">
        <f>IF(I107="MET","Requirement assessed MET; no deduction.",IF(I107="NOT APPLICABLE","Requirement assessed NOT APPLICABLE; no deduction.",IF(I107="NOT ASSESSED","Requirement not assessed; score remains provisional.",IF(M107="Yes","Partial-credit condition applied; 3 points deducted.","Requirement assessed NOT MET; "&amp;L107&amp;" points deducted."))))</f>
        <v/>
      </c>
    </row>
    <row r="108">
      <c r="A108" s="14" t="inlineStr">
        <is>
          <t>SC</t>
        </is>
      </c>
      <c r="B108" s="14" t="inlineStr">
        <is>
          <t>SC.L2-3.13.16</t>
        </is>
      </c>
      <c r="C108" s="14" t="inlineStr">
        <is>
          <t>Data at Rest</t>
        </is>
      </c>
      <c r="D108" s="14" t="inlineStr">
        <is>
          <t>Protect the confidentiality of CUI at rest.</t>
        </is>
      </c>
      <c r="E108" s="14" t="n">
        <v>252</v>
      </c>
      <c r="F108" s="14" t="n">
        <v>253</v>
      </c>
      <c r="G108" s="15" t="inlineStr">
        <is>
          <t>Yes</t>
        </is>
      </c>
      <c r="H108" s="16" t="inlineStr">
        <is>
          <t>ONE_POINT</t>
        </is>
      </c>
      <c r="I108" s="15" t="inlineStr">
        <is>
          <t>NOT ASSESSED</t>
        </is>
      </c>
      <c r="J108" s="16" t="inlineStr"/>
      <c r="K108" s="16" t="inlineStr">
        <is>
          <t>No</t>
        </is>
      </c>
      <c r="L108" s="16" t="n">
        <v>1</v>
      </c>
      <c r="M108" s="16">
        <f>IF(AND(K108="Yes",I108="NOT MET",J108="PARTIALLY IMPLEMENTED"),"Yes","No")</f>
        <v/>
      </c>
      <c r="N108" s="16">
        <f>IF(OR(I108="MET",I108="NOT APPLICABLE",I108="NOT ASSESSED"),0,IF(AND(K108="Yes",J108="PARTIALLY IMPLEMENTED"),3,L108))</f>
        <v/>
      </c>
      <c r="O108" s="15" t="inlineStr">
        <is>
          <t>Not Started</t>
        </is>
      </c>
      <c r="P108" s="15" t="inlineStr"/>
      <c r="Q108" s="15" t="inlineStr"/>
      <c r="R108" s="15" t="inlineStr"/>
      <c r="S108" s="16">
        <f>IF(I108="NOT MET","Yes","No")</f>
        <v/>
      </c>
      <c r="T108" s="16" t="inlineStr"/>
      <c r="U108" s="16" t="inlineStr">
        <is>
          <t>32 CFR 170.24(c)(2) | Current eCFR</t>
        </is>
      </c>
      <c r="V108" s="16">
        <f>IF(I108="MET","Requirement assessed MET; no deduction.",IF(I108="NOT APPLICABLE","Requirement assessed NOT APPLICABLE; no deduction.",IF(I108="NOT ASSESSED","Requirement not assessed; score remains provisional.",IF(M108="Yes","Partial-credit condition applied; 3 points deducted.","Requirement assessed NOT MET; "&amp;L108&amp;" points deducted."))))</f>
        <v/>
      </c>
    </row>
    <row r="109">
      <c r="A109" s="14" t="inlineStr">
        <is>
          <t>SI</t>
        </is>
      </c>
      <c r="B109" s="14" t="inlineStr">
        <is>
          <t>SI.L2-3.14.1</t>
        </is>
      </c>
      <c r="C109" s="14" t="inlineStr">
        <is>
          <t>Flaw Remediation [CUI Data]</t>
        </is>
      </c>
      <c r="D109" s="14" t="inlineStr">
        <is>
          <t>Identify, report, and correct system flaws in a timely manner.</t>
        </is>
      </c>
      <c r="E109" s="14" t="n">
        <v>254</v>
      </c>
      <c r="F109" s="14" t="n">
        <v>256</v>
      </c>
      <c r="G109" s="15" t="inlineStr">
        <is>
          <t>Yes</t>
        </is>
      </c>
      <c r="H109" s="16" t="inlineStr">
        <is>
          <t>FIVE_POINT</t>
        </is>
      </c>
      <c r="I109" s="15" t="inlineStr">
        <is>
          <t>NOT ASSESSED</t>
        </is>
      </c>
      <c r="J109" s="16" t="inlineStr"/>
      <c r="K109" s="16" t="inlineStr">
        <is>
          <t>No</t>
        </is>
      </c>
      <c r="L109" s="16" t="n">
        <v>5</v>
      </c>
      <c r="M109" s="16">
        <f>IF(AND(K109="Yes",I109="NOT MET",J109="PARTIALLY IMPLEMENTED"),"Yes","No")</f>
        <v/>
      </c>
      <c r="N109" s="16">
        <f>IF(OR(I109="MET",I109="NOT APPLICABLE",I109="NOT ASSESSED"),0,IF(AND(K109="Yes",J109="PARTIALLY IMPLEMENTED"),3,L109))</f>
        <v/>
      </c>
      <c r="O109" s="15" t="inlineStr">
        <is>
          <t>Not Started</t>
        </is>
      </c>
      <c r="P109" s="15" t="inlineStr"/>
      <c r="Q109" s="15" t="inlineStr"/>
      <c r="R109" s="15" t="inlineStr"/>
      <c r="S109" s="16">
        <f>IF(I109="NOT MET","Yes","No")</f>
        <v/>
      </c>
      <c r="T109" s="16" t="inlineStr"/>
      <c r="U109" s="16" t="inlineStr">
        <is>
          <t>32 CFR 170.24(c)(2) | Current eCFR</t>
        </is>
      </c>
      <c r="V109" s="16">
        <f>IF(I109="MET","Requirement assessed MET; no deduction.",IF(I109="NOT APPLICABLE","Requirement assessed NOT APPLICABLE; no deduction.",IF(I109="NOT ASSESSED","Requirement not assessed; score remains provisional.",IF(M109="Yes","Partial-credit condition applied; 3 points deducted.","Requirement assessed NOT MET; "&amp;L109&amp;" points deducted."))))</f>
        <v/>
      </c>
    </row>
    <row r="110">
      <c r="A110" s="14" t="inlineStr">
        <is>
          <t>SI</t>
        </is>
      </c>
      <c r="B110" s="14" t="inlineStr">
        <is>
          <t>SI.L2-3.14.2</t>
        </is>
      </c>
      <c r="C110" s="14" t="inlineStr">
        <is>
          <t>Malicious Code Protection [CUI Data]</t>
        </is>
      </c>
      <c r="D110" s="14" t="inlineStr">
        <is>
          <t>Provide protection from malicious code at designated locations within organizational systems.</t>
        </is>
      </c>
      <c r="E110" s="14" t="n">
        <v>257</v>
      </c>
      <c r="F110" s="14" t="n">
        <v>259</v>
      </c>
      <c r="G110" s="15" t="inlineStr">
        <is>
          <t>Yes</t>
        </is>
      </c>
      <c r="H110" s="16" t="inlineStr">
        <is>
          <t>FIVE_POINT</t>
        </is>
      </c>
      <c r="I110" s="15" t="inlineStr">
        <is>
          <t>NOT ASSESSED</t>
        </is>
      </c>
      <c r="J110" s="16" t="inlineStr"/>
      <c r="K110" s="16" t="inlineStr">
        <is>
          <t>No</t>
        </is>
      </c>
      <c r="L110" s="16" t="n">
        <v>5</v>
      </c>
      <c r="M110" s="16">
        <f>IF(AND(K110="Yes",I110="NOT MET",J110="PARTIALLY IMPLEMENTED"),"Yes","No")</f>
        <v/>
      </c>
      <c r="N110" s="16">
        <f>IF(OR(I110="MET",I110="NOT APPLICABLE",I110="NOT ASSESSED"),0,IF(AND(K110="Yes",J110="PARTIALLY IMPLEMENTED"),3,L110))</f>
        <v/>
      </c>
      <c r="O110" s="15" t="inlineStr">
        <is>
          <t>Not Started</t>
        </is>
      </c>
      <c r="P110" s="15" t="inlineStr"/>
      <c r="Q110" s="15" t="inlineStr"/>
      <c r="R110" s="15" t="inlineStr"/>
      <c r="S110" s="16">
        <f>IF(I110="NOT MET","Yes","No")</f>
        <v/>
      </c>
      <c r="T110" s="16" t="inlineStr"/>
      <c r="U110" s="16" t="inlineStr">
        <is>
          <t>32 CFR 170.24(c)(2) | Current eCFR</t>
        </is>
      </c>
      <c r="V110" s="16">
        <f>IF(I110="MET","Requirement assessed MET; no deduction.",IF(I110="NOT APPLICABLE","Requirement assessed NOT APPLICABLE; no deduction.",IF(I110="NOT ASSESSED","Requirement not assessed; score remains provisional.",IF(M110="Yes","Partial-credit condition applied; 3 points deducted.","Requirement assessed NOT MET; "&amp;L110&amp;" points deducted."))))</f>
        <v/>
      </c>
    </row>
    <row r="111">
      <c r="A111" s="14" t="inlineStr">
        <is>
          <t>SI</t>
        </is>
      </c>
      <c r="B111" s="14" t="inlineStr">
        <is>
          <t>SI.L2-3.14.3</t>
        </is>
      </c>
      <c r="C111" s="14" t="inlineStr">
        <is>
          <t>Security Alerts &amp; Advisories</t>
        </is>
      </c>
      <c r="D111" s="14" t="inlineStr">
        <is>
          <t>Monitor system security alerts and advisories and take action in response.</t>
        </is>
      </c>
      <c r="E111" s="14" t="n">
        <v>260</v>
      </c>
      <c r="F111" s="14" t="n">
        <v>261</v>
      </c>
      <c r="G111" s="15" t="inlineStr">
        <is>
          <t>Yes</t>
        </is>
      </c>
      <c r="H111" s="16" t="inlineStr">
        <is>
          <t>FIVE_POINT</t>
        </is>
      </c>
      <c r="I111" s="15" t="inlineStr">
        <is>
          <t>NOT ASSESSED</t>
        </is>
      </c>
      <c r="J111" s="16" t="inlineStr"/>
      <c r="K111" s="16" t="inlineStr">
        <is>
          <t>No</t>
        </is>
      </c>
      <c r="L111" s="16" t="n">
        <v>5</v>
      </c>
      <c r="M111" s="16">
        <f>IF(AND(K111="Yes",I111="NOT MET",J111="PARTIALLY IMPLEMENTED"),"Yes","No")</f>
        <v/>
      </c>
      <c r="N111" s="16">
        <f>IF(OR(I111="MET",I111="NOT APPLICABLE",I111="NOT ASSESSED"),0,IF(AND(K111="Yes",J111="PARTIALLY IMPLEMENTED"),3,L111))</f>
        <v/>
      </c>
      <c r="O111" s="15" t="inlineStr">
        <is>
          <t>Not Started</t>
        </is>
      </c>
      <c r="P111" s="15" t="inlineStr"/>
      <c r="Q111" s="15" t="inlineStr"/>
      <c r="R111" s="15" t="inlineStr"/>
      <c r="S111" s="16">
        <f>IF(I111="NOT MET","Yes","No")</f>
        <v/>
      </c>
      <c r="T111" s="16" t="inlineStr"/>
      <c r="U111" s="16" t="inlineStr">
        <is>
          <t>32 CFR 170.24(c)(2) | Current eCFR</t>
        </is>
      </c>
      <c r="V111" s="16">
        <f>IF(I111="MET","Requirement assessed MET; no deduction.",IF(I111="NOT APPLICABLE","Requirement assessed NOT APPLICABLE; no deduction.",IF(I111="NOT ASSESSED","Requirement not assessed; score remains provisional.",IF(M111="Yes","Partial-credit condition applied; 3 points deducted.","Requirement assessed NOT MET; "&amp;L111&amp;" points deducted."))))</f>
        <v/>
      </c>
    </row>
    <row r="112">
      <c r="A112" s="14" t="inlineStr">
        <is>
          <t>SI</t>
        </is>
      </c>
      <c r="B112" s="14" t="inlineStr">
        <is>
          <t>SI.L2-3.14.4</t>
        </is>
      </c>
      <c r="C112" s="14" t="inlineStr">
        <is>
          <t>Update Malicious Code Protection [CUI Data]</t>
        </is>
      </c>
      <c r="D112" s="14" t="inlineStr">
        <is>
          <t>Update malicious code protection mechanisms when new releases are available.</t>
        </is>
      </c>
      <c r="E112" s="14" t="n">
        <v>262</v>
      </c>
      <c r="F112" s="14" t="n">
        <v>263</v>
      </c>
      <c r="G112" s="15" t="inlineStr">
        <is>
          <t>Yes</t>
        </is>
      </c>
      <c r="H112" s="16" t="inlineStr">
        <is>
          <t>FIVE_POINT</t>
        </is>
      </c>
      <c r="I112" s="15" t="inlineStr">
        <is>
          <t>NOT ASSESSED</t>
        </is>
      </c>
      <c r="J112" s="16" t="inlineStr"/>
      <c r="K112" s="16" t="inlineStr">
        <is>
          <t>No</t>
        </is>
      </c>
      <c r="L112" s="16" t="n">
        <v>5</v>
      </c>
      <c r="M112" s="16">
        <f>IF(AND(K112="Yes",I112="NOT MET",J112="PARTIALLY IMPLEMENTED"),"Yes","No")</f>
        <v/>
      </c>
      <c r="N112" s="16">
        <f>IF(OR(I112="MET",I112="NOT APPLICABLE",I112="NOT ASSESSED"),0,IF(AND(K112="Yes",J112="PARTIALLY IMPLEMENTED"),3,L112))</f>
        <v/>
      </c>
      <c r="O112" s="15" t="inlineStr">
        <is>
          <t>Not Started</t>
        </is>
      </c>
      <c r="P112" s="15" t="inlineStr"/>
      <c r="Q112" s="15" t="inlineStr"/>
      <c r="R112" s="15" t="inlineStr"/>
      <c r="S112" s="16">
        <f>IF(I112="NOT MET","Yes","No")</f>
        <v/>
      </c>
      <c r="T112" s="16" t="inlineStr"/>
      <c r="U112" s="16" t="inlineStr">
        <is>
          <t>32 CFR 170.24(c)(2) | Current eCFR</t>
        </is>
      </c>
      <c r="V112" s="16">
        <f>IF(I112="MET","Requirement assessed MET; no deduction.",IF(I112="NOT APPLICABLE","Requirement assessed NOT APPLICABLE; no deduction.",IF(I112="NOT ASSESSED","Requirement not assessed; score remains provisional.",IF(M112="Yes","Partial-credit condition applied; 3 points deducted.","Requirement assessed NOT MET; "&amp;L112&amp;" points deducted."))))</f>
        <v/>
      </c>
    </row>
    <row r="113">
      <c r="A113" s="14" t="inlineStr">
        <is>
          <t>SI</t>
        </is>
      </c>
      <c r="B113" s="14" t="inlineStr">
        <is>
          <t>SI.L2-3.14.5</t>
        </is>
      </c>
      <c r="C113" s="14" t="inlineStr">
        <is>
          <t>System &amp; File Scanning [CUI Data]</t>
        </is>
      </c>
      <c r="D113" s="14" t="inlineStr">
        <is>
          <t>Perform periodic scans of organizational systems and real -time scans of files from external sources as files are downloaded, opened, or executed.</t>
        </is>
      </c>
      <c r="E113" s="14" t="n">
        <v>264</v>
      </c>
      <c r="F113" s="14" t="n">
        <v>265</v>
      </c>
      <c r="G113" s="15" t="inlineStr">
        <is>
          <t>Yes</t>
        </is>
      </c>
      <c r="H113" s="16" t="inlineStr">
        <is>
          <t>THREE_POINT</t>
        </is>
      </c>
      <c r="I113" s="15" t="inlineStr">
        <is>
          <t>NOT ASSESSED</t>
        </is>
      </c>
      <c r="J113" s="16" t="inlineStr"/>
      <c r="K113" s="16" t="inlineStr">
        <is>
          <t>No</t>
        </is>
      </c>
      <c r="L113" s="16" t="n">
        <v>3</v>
      </c>
      <c r="M113" s="16">
        <f>IF(AND(K113="Yes",I113="NOT MET",J113="PARTIALLY IMPLEMENTED"),"Yes","No")</f>
        <v/>
      </c>
      <c r="N113" s="16">
        <f>IF(OR(I113="MET",I113="NOT APPLICABLE",I113="NOT ASSESSED"),0,IF(AND(K113="Yes",J113="PARTIALLY IMPLEMENTED"),3,L113))</f>
        <v/>
      </c>
      <c r="O113" s="15" t="inlineStr">
        <is>
          <t>Not Started</t>
        </is>
      </c>
      <c r="P113" s="15" t="inlineStr"/>
      <c r="Q113" s="15" t="inlineStr"/>
      <c r="R113" s="15" t="inlineStr"/>
      <c r="S113" s="16">
        <f>IF(I113="NOT MET","Yes","No")</f>
        <v/>
      </c>
      <c r="T113" s="16" t="inlineStr"/>
      <c r="U113" s="16" t="inlineStr">
        <is>
          <t>32 CFR 170.24(c)(2) | Current eCFR</t>
        </is>
      </c>
      <c r="V113" s="16">
        <f>IF(I113="MET","Requirement assessed MET; no deduction.",IF(I113="NOT APPLICABLE","Requirement assessed NOT APPLICABLE; no deduction.",IF(I113="NOT ASSESSED","Requirement not assessed; score remains provisional.",IF(M113="Yes","Partial-credit condition applied; 3 points deducted.","Requirement assessed NOT MET; "&amp;L113&amp;" points deducted."))))</f>
        <v/>
      </c>
    </row>
    <row r="114">
      <c r="A114" s="14" t="inlineStr">
        <is>
          <t>SI</t>
        </is>
      </c>
      <c r="B114" s="14" t="inlineStr">
        <is>
          <t>SI.L2-3.14.6</t>
        </is>
      </c>
      <c r="C114" s="14" t="inlineStr">
        <is>
          <t>Monitor Communications for Attacks</t>
        </is>
      </c>
      <c r="D114" s="14" t="inlineStr">
        <is>
          <t>Monitor organizational systems, including inbound and outbound communications traffic, to detect attacks and indicators of potential attacks.</t>
        </is>
      </c>
      <c r="E114" s="14" t="n">
        <v>266</v>
      </c>
      <c r="F114" s="14" t="n">
        <v>268</v>
      </c>
      <c r="G114" s="15" t="inlineStr">
        <is>
          <t>Yes</t>
        </is>
      </c>
      <c r="H114" s="16" t="inlineStr">
        <is>
          <t>FIVE_POINT</t>
        </is>
      </c>
      <c r="I114" s="15" t="inlineStr">
        <is>
          <t>NOT ASSESSED</t>
        </is>
      </c>
      <c r="J114" s="16" t="inlineStr"/>
      <c r="K114" s="16" t="inlineStr">
        <is>
          <t>No</t>
        </is>
      </c>
      <c r="L114" s="16" t="n">
        <v>5</v>
      </c>
      <c r="M114" s="16">
        <f>IF(AND(K114="Yes",I114="NOT MET",J114="PARTIALLY IMPLEMENTED"),"Yes","No")</f>
        <v/>
      </c>
      <c r="N114" s="16">
        <f>IF(OR(I114="MET",I114="NOT APPLICABLE",I114="NOT ASSESSED"),0,IF(AND(K114="Yes",J114="PARTIALLY IMPLEMENTED"),3,L114))</f>
        <v/>
      </c>
      <c r="O114" s="15" t="inlineStr">
        <is>
          <t>Not Started</t>
        </is>
      </c>
      <c r="P114" s="15" t="inlineStr"/>
      <c r="Q114" s="15" t="inlineStr"/>
      <c r="R114" s="15" t="inlineStr"/>
      <c r="S114" s="16">
        <f>IF(I114="NOT MET","Yes","No")</f>
        <v/>
      </c>
      <c r="T114" s="16" t="inlineStr"/>
      <c r="U114" s="16" t="inlineStr">
        <is>
          <t>32 CFR 170.24(c)(2) | Current eCFR</t>
        </is>
      </c>
      <c r="V114" s="16">
        <f>IF(I114="MET","Requirement assessed MET; no deduction.",IF(I114="NOT APPLICABLE","Requirement assessed NOT APPLICABLE; no deduction.",IF(I114="NOT ASSESSED","Requirement not assessed; score remains provisional.",IF(M114="Yes","Partial-credit condition applied; 3 points deducted.","Requirement assessed NOT MET; "&amp;L114&amp;" points deducted."))))</f>
        <v/>
      </c>
    </row>
    <row r="115">
      <c r="A115" s="14" t="inlineStr">
        <is>
          <t>SI</t>
        </is>
      </c>
      <c r="B115" s="14" t="inlineStr">
        <is>
          <t>SI.L2-3.14.7</t>
        </is>
      </c>
      <c r="C115" s="14" t="inlineStr">
        <is>
          <t>Identify Unauthorized Use</t>
        </is>
      </c>
      <c r="D115" s="14" t="inlineStr">
        <is>
          <t>Identify unauthorized use of organizational systems.</t>
        </is>
      </c>
      <c r="E115" s="14" t="n">
        <v>269</v>
      </c>
      <c r="F115" s="14" t="n">
        <v>276</v>
      </c>
      <c r="G115" s="15" t="inlineStr">
        <is>
          <t>Yes</t>
        </is>
      </c>
      <c r="H115" s="16" t="inlineStr">
        <is>
          <t>THREE_POINT</t>
        </is>
      </c>
      <c r="I115" s="15" t="inlineStr">
        <is>
          <t>NOT ASSESSED</t>
        </is>
      </c>
      <c r="J115" s="16" t="inlineStr"/>
      <c r="K115" s="16" t="inlineStr">
        <is>
          <t>No</t>
        </is>
      </c>
      <c r="L115" s="16" t="n">
        <v>3</v>
      </c>
      <c r="M115" s="16">
        <f>IF(AND(K115="Yes",I115="NOT MET",J115="PARTIALLY IMPLEMENTED"),"Yes","No")</f>
        <v/>
      </c>
      <c r="N115" s="16">
        <f>IF(OR(I115="MET",I115="NOT APPLICABLE",I115="NOT ASSESSED"),0,IF(AND(K115="Yes",J115="PARTIALLY IMPLEMENTED"),3,L115))</f>
        <v/>
      </c>
      <c r="O115" s="15" t="inlineStr">
        <is>
          <t>Not Started</t>
        </is>
      </c>
      <c r="P115" s="15" t="inlineStr"/>
      <c r="Q115" s="15" t="inlineStr"/>
      <c r="R115" s="15" t="inlineStr"/>
      <c r="S115" s="16">
        <f>IF(I115="NOT MET","Yes","No")</f>
        <v/>
      </c>
      <c r="T115" s="16" t="inlineStr"/>
      <c r="U115" s="16" t="inlineStr">
        <is>
          <t>32 CFR 170.24(c)(2) | Current eCFR</t>
        </is>
      </c>
      <c r="V115" s="16">
        <f>IF(I115="MET","Requirement assessed MET; no deduction.",IF(I115="NOT APPLICABLE","Requirement assessed NOT APPLICABLE; no deduction.",IF(I115="NOT ASSESSED","Requirement not assessed; score remains provisional.",IF(M115="Yes","Partial-credit condition applied; 3 points deducted.","Requirement assessed NOT MET; "&amp;L115&amp;" points deducted."))))</f>
        <v/>
      </c>
    </row>
  </sheetData>
  <autoFilter ref="A5:V115"/>
  <mergeCells count="2">
    <mergeCell ref="A1:V2"/>
    <mergeCell ref="A3:V3"/>
  </mergeCells>
  <conditionalFormatting sqref="I6:I115">
    <cfRule type="expression" priority="1" dxfId="0">
      <formula>I6="MET"</formula>
    </cfRule>
    <cfRule type="expression" priority="2" dxfId="1">
      <formula>I6="NOT MET"</formula>
    </cfRule>
    <cfRule type="expression" priority="3" dxfId="2">
      <formula>I6="NOT ASSESSED"</formula>
    </cfRule>
  </conditionalFormatting>
  <conditionalFormatting sqref="M6:M115">
    <cfRule type="expression" priority="4" dxfId="2">
      <formula>M6="Yes"</formula>
    </cfRule>
  </conditionalFormatting>
  <conditionalFormatting sqref="S6:S115">
    <cfRule type="expression" priority="5" dxfId="1">
      <formula>S6="Yes"</formula>
    </cfRule>
  </conditionalFormatting>
  <dataValidations count="4">
    <dataValidation sqref="G6:G115" showDropDown="0" showInputMessage="0" showErrorMessage="0" allowBlank="0" type="list">
      <formula1>"Yes,No"</formula1>
    </dataValidation>
    <dataValidation sqref="I6:I115" showDropDown="0" showInputMessage="0" showErrorMessage="0" allowBlank="0" type="list">
      <formula1>"MET,NOT MET,NOT APPLICABLE,NOT ASSESSED"</formula1>
    </dataValidation>
    <dataValidation sqref="J6:J115" showDropDown="0" showInputMessage="0" showErrorMessage="0" allowBlank="1" type="list">
      <formula1>"FULLY IMPLEMENTED,PARTIALLY IMPLEMENTED,NOT IMPLEMENTED,NOT APPLICABLE,NOT ASSESSED"</formula1>
    </dataValidation>
    <dataValidation sqref="O6:O115" showDropDown="0" showInputMessage="0" showErrorMessage="0" allowBlank="0" type="list">
      <formula1>"Not Started,In Progress,Complete,Not Applicable"</formula1>
    </dataValidation>
  </dataValidations>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19"/>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26" customHeight="1">
      <c r="A1" s="1" t="inlineStr">
        <is>
          <t>Domain Summary</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Weighted scoring, completion, and findings by CMMC domain</t>
        </is>
      </c>
      <c r="B3" s="2" t="n"/>
      <c r="C3" s="2" t="n"/>
      <c r="D3" s="2" t="n"/>
      <c r="E3" s="2" t="n"/>
      <c r="F3" s="2" t="n"/>
      <c r="G3" s="2" t="n"/>
      <c r="H3" s="2" t="n"/>
      <c r="I3" s="2" t="n"/>
      <c r="J3" s="2" t="n"/>
    </row>
    <row r="5" ht="32" customHeight="1">
      <c r="A5" s="8" t="inlineStr">
        <is>
          <t>Domain</t>
        </is>
      </c>
      <c r="B5" s="8" t="inlineStr">
        <is>
          <t>Requirement Count</t>
        </is>
      </c>
      <c r="C5" s="8" t="inlineStr">
        <is>
          <t>Met</t>
        </is>
      </c>
      <c r="D5" s="8" t="inlineStr">
        <is>
          <t>Not Met</t>
        </is>
      </c>
      <c r="E5" s="8" t="inlineStr">
        <is>
          <t>Not Assessed</t>
        </is>
      </c>
      <c r="F5" s="8" t="inlineStr">
        <is>
          <t>Full Weight</t>
        </is>
      </c>
      <c r="G5" s="8" t="inlineStr">
        <is>
          <t>Current Deduction</t>
        </is>
      </c>
      <c r="H5" s="8" t="inlineStr">
        <is>
          <t>Completion %</t>
        </is>
      </c>
      <c r="I5" s="8" t="inlineStr">
        <is>
          <t>Domain Score</t>
        </is>
      </c>
      <c r="J5" s="8" t="inlineStr">
        <is>
          <t>Readiness</t>
        </is>
      </c>
    </row>
    <row r="6">
      <c r="A6" s="17" t="inlineStr">
        <is>
          <t>AC</t>
        </is>
      </c>
      <c r="B6" s="17">
        <f>COUNTIF(Assessment!$A$6:$A$115,A6)</f>
        <v/>
      </c>
      <c r="C6" s="17">
        <f>COUNTIFS(Assessment!$A$6:$A$115,A6,Assessment!$I$6:$I$115,"MET")</f>
        <v/>
      </c>
      <c r="D6" s="17">
        <f>COUNTIFS(Assessment!$A$6:$A$115,A6,Assessment!$I$6:$I$115,"NOT MET")</f>
        <v/>
      </c>
      <c r="E6" s="17">
        <f>COUNTIFS(Assessment!$A$6:$A$115,A6,Assessment!$I$6:$I$115,"NOT ASSESSED")</f>
        <v/>
      </c>
      <c r="F6" s="17">
        <f>SUMIF(Assessment!$A$6:$A$115,A6,Assessment!$L$6:$L$115)</f>
        <v/>
      </c>
      <c r="G6" s="17">
        <f>SUMIF(Assessment!$A$6:$A$115,A6,Assessment!$N$6:$N$115)</f>
        <v/>
      </c>
      <c r="H6" s="18">
        <f>IF(B6=0,0,(B6-E6)/B6)</f>
        <v/>
      </c>
      <c r="I6" s="17">
        <f>F6-G6</f>
        <v/>
      </c>
      <c r="J6" s="17">
        <f>IF(E6&gt;0,"INCOMPLETE",IF(D6=0,"READY","NEEDS WORK"))</f>
        <v/>
      </c>
    </row>
    <row r="7">
      <c r="A7" s="17" t="inlineStr">
        <is>
          <t>AT</t>
        </is>
      </c>
      <c r="B7" s="17">
        <f>COUNTIF(Assessment!$A$6:$A$115,A7)</f>
        <v/>
      </c>
      <c r="C7" s="17">
        <f>COUNTIFS(Assessment!$A$6:$A$115,A7,Assessment!$I$6:$I$115,"MET")</f>
        <v/>
      </c>
      <c r="D7" s="17">
        <f>COUNTIFS(Assessment!$A$6:$A$115,A7,Assessment!$I$6:$I$115,"NOT MET")</f>
        <v/>
      </c>
      <c r="E7" s="17">
        <f>COUNTIFS(Assessment!$A$6:$A$115,A7,Assessment!$I$6:$I$115,"NOT ASSESSED")</f>
        <v/>
      </c>
      <c r="F7" s="17">
        <f>SUMIF(Assessment!$A$6:$A$115,A7,Assessment!$L$6:$L$115)</f>
        <v/>
      </c>
      <c r="G7" s="17">
        <f>SUMIF(Assessment!$A$6:$A$115,A7,Assessment!$N$6:$N$115)</f>
        <v/>
      </c>
      <c r="H7" s="18">
        <f>IF(B7=0,0,(B7-E7)/B7)</f>
        <v/>
      </c>
      <c r="I7" s="17">
        <f>F7-G7</f>
        <v/>
      </c>
      <c r="J7" s="17">
        <f>IF(E7&gt;0,"INCOMPLETE",IF(D7=0,"READY","NEEDS WORK"))</f>
        <v/>
      </c>
    </row>
    <row r="8">
      <c r="A8" s="17" t="inlineStr">
        <is>
          <t>AU</t>
        </is>
      </c>
      <c r="B8" s="17">
        <f>COUNTIF(Assessment!$A$6:$A$115,A8)</f>
        <v/>
      </c>
      <c r="C8" s="17">
        <f>COUNTIFS(Assessment!$A$6:$A$115,A8,Assessment!$I$6:$I$115,"MET")</f>
        <v/>
      </c>
      <c r="D8" s="17">
        <f>COUNTIFS(Assessment!$A$6:$A$115,A8,Assessment!$I$6:$I$115,"NOT MET")</f>
        <v/>
      </c>
      <c r="E8" s="17">
        <f>COUNTIFS(Assessment!$A$6:$A$115,A8,Assessment!$I$6:$I$115,"NOT ASSESSED")</f>
        <v/>
      </c>
      <c r="F8" s="17">
        <f>SUMIF(Assessment!$A$6:$A$115,A8,Assessment!$L$6:$L$115)</f>
        <v/>
      </c>
      <c r="G8" s="17">
        <f>SUMIF(Assessment!$A$6:$A$115,A8,Assessment!$N$6:$N$115)</f>
        <v/>
      </c>
      <c r="H8" s="18">
        <f>IF(B8=0,0,(B8-E8)/B8)</f>
        <v/>
      </c>
      <c r="I8" s="17">
        <f>F8-G8</f>
        <v/>
      </c>
      <c r="J8" s="17">
        <f>IF(E8&gt;0,"INCOMPLETE",IF(D8=0,"READY","NEEDS WORK"))</f>
        <v/>
      </c>
    </row>
    <row r="9">
      <c r="A9" s="17" t="inlineStr">
        <is>
          <t>CM</t>
        </is>
      </c>
      <c r="B9" s="17">
        <f>COUNTIF(Assessment!$A$6:$A$115,A9)</f>
        <v/>
      </c>
      <c r="C9" s="17">
        <f>COUNTIFS(Assessment!$A$6:$A$115,A9,Assessment!$I$6:$I$115,"MET")</f>
        <v/>
      </c>
      <c r="D9" s="17">
        <f>COUNTIFS(Assessment!$A$6:$A$115,A9,Assessment!$I$6:$I$115,"NOT MET")</f>
        <v/>
      </c>
      <c r="E9" s="17">
        <f>COUNTIFS(Assessment!$A$6:$A$115,A9,Assessment!$I$6:$I$115,"NOT ASSESSED")</f>
        <v/>
      </c>
      <c r="F9" s="17">
        <f>SUMIF(Assessment!$A$6:$A$115,A9,Assessment!$L$6:$L$115)</f>
        <v/>
      </c>
      <c r="G9" s="17">
        <f>SUMIF(Assessment!$A$6:$A$115,A9,Assessment!$N$6:$N$115)</f>
        <v/>
      </c>
      <c r="H9" s="18">
        <f>IF(B9=0,0,(B9-E9)/B9)</f>
        <v/>
      </c>
      <c r="I9" s="17">
        <f>F9-G9</f>
        <v/>
      </c>
      <c r="J9" s="17">
        <f>IF(E9&gt;0,"INCOMPLETE",IF(D9=0,"READY","NEEDS WORK"))</f>
        <v/>
      </c>
    </row>
    <row r="10">
      <c r="A10" s="17" t="inlineStr">
        <is>
          <t>IA</t>
        </is>
      </c>
      <c r="B10" s="17">
        <f>COUNTIF(Assessment!$A$6:$A$115,A10)</f>
        <v/>
      </c>
      <c r="C10" s="17">
        <f>COUNTIFS(Assessment!$A$6:$A$115,A10,Assessment!$I$6:$I$115,"MET")</f>
        <v/>
      </c>
      <c r="D10" s="17">
        <f>COUNTIFS(Assessment!$A$6:$A$115,A10,Assessment!$I$6:$I$115,"NOT MET")</f>
        <v/>
      </c>
      <c r="E10" s="17">
        <f>COUNTIFS(Assessment!$A$6:$A$115,A10,Assessment!$I$6:$I$115,"NOT ASSESSED")</f>
        <v/>
      </c>
      <c r="F10" s="17">
        <f>SUMIF(Assessment!$A$6:$A$115,A10,Assessment!$L$6:$L$115)</f>
        <v/>
      </c>
      <c r="G10" s="17">
        <f>SUMIF(Assessment!$A$6:$A$115,A10,Assessment!$N$6:$N$115)</f>
        <v/>
      </c>
      <c r="H10" s="18">
        <f>IF(B10=0,0,(B10-E10)/B10)</f>
        <v/>
      </c>
      <c r="I10" s="17">
        <f>F10-G10</f>
        <v/>
      </c>
      <c r="J10" s="17">
        <f>IF(E10&gt;0,"INCOMPLETE",IF(D10=0,"READY","NEEDS WORK"))</f>
        <v/>
      </c>
    </row>
    <row r="11">
      <c r="A11" s="17" t="inlineStr">
        <is>
          <t>IR</t>
        </is>
      </c>
      <c r="B11" s="17">
        <f>COUNTIF(Assessment!$A$6:$A$115,A11)</f>
        <v/>
      </c>
      <c r="C11" s="17">
        <f>COUNTIFS(Assessment!$A$6:$A$115,A11,Assessment!$I$6:$I$115,"MET")</f>
        <v/>
      </c>
      <c r="D11" s="17">
        <f>COUNTIFS(Assessment!$A$6:$A$115,A11,Assessment!$I$6:$I$115,"NOT MET")</f>
        <v/>
      </c>
      <c r="E11" s="17">
        <f>COUNTIFS(Assessment!$A$6:$A$115,A11,Assessment!$I$6:$I$115,"NOT ASSESSED")</f>
        <v/>
      </c>
      <c r="F11" s="17">
        <f>SUMIF(Assessment!$A$6:$A$115,A11,Assessment!$L$6:$L$115)</f>
        <v/>
      </c>
      <c r="G11" s="17">
        <f>SUMIF(Assessment!$A$6:$A$115,A11,Assessment!$N$6:$N$115)</f>
        <v/>
      </c>
      <c r="H11" s="18">
        <f>IF(B11=0,0,(B11-E11)/B11)</f>
        <v/>
      </c>
      <c r="I11" s="17">
        <f>F11-G11</f>
        <v/>
      </c>
      <c r="J11" s="17">
        <f>IF(E11&gt;0,"INCOMPLETE",IF(D11=0,"READY","NEEDS WORK"))</f>
        <v/>
      </c>
    </row>
    <row r="12">
      <c r="A12" s="17" t="inlineStr">
        <is>
          <t>MA</t>
        </is>
      </c>
      <c r="B12" s="17">
        <f>COUNTIF(Assessment!$A$6:$A$115,A12)</f>
        <v/>
      </c>
      <c r="C12" s="17">
        <f>COUNTIFS(Assessment!$A$6:$A$115,A12,Assessment!$I$6:$I$115,"MET")</f>
        <v/>
      </c>
      <c r="D12" s="17">
        <f>COUNTIFS(Assessment!$A$6:$A$115,A12,Assessment!$I$6:$I$115,"NOT MET")</f>
        <v/>
      </c>
      <c r="E12" s="17">
        <f>COUNTIFS(Assessment!$A$6:$A$115,A12,Assessment!$I$6:$I$115,"NOT ASSESSED")</f>
        <v/>
      </c>
      <c r="F12" s="17">
        <f>SUMIF(Assessment!$A$6:$A$115,A12,Assessment!$L$6:$L$115)</f>
        <v/>
      </c>
      <c r="G12" s="17">
        <f>SUMIF(Assessment!$A$6:$A$115,A12,Assessment!$N$6:$N$115)</f>
        <v/>
      </c>
      <c r="H12" s="18">
        <f>IF(B12=0,0,(B12-E12)/B12)</f>
        <v/>
      </c>
      <c r="I12" s="17">
        <f>F12-G12</f>
        <v/>
      </c>
      <c r="J12" s="17">
        <f>IF(E12&gt;0,"INCOMPLETE",IF(D12=0,"READY","NEEDS WORK"))</f>
        <v/>
      </c>
    </row>
    <row r="13">
      <c r="A13" s="17" t="inlineStr">
        <is>
          <t>MP</t>
        </is>
      </c>
      <c r="B13" s="17">
        <f>COUNTIF(Assessment!$A$6:$A$115,A13)</f>
        <v/>
      </c>
      <c r="C13" s="17">
        <f>COUNTIFS(Assessment!$A$6:$A$115,A13,Assessment!$I$6:$I$115,"MET")</f>
        <v/>
      </c>
      <c r="D13" s="17">
        <f>COUNTIFS(Assessment!$A$6:$A$115,A13,Assessment!$I$6:$I$115,"NOT MET")</f>
        <v/>
      </c>
      <c r="E13" s="17">
        <f>COUNTIFS(Assessment!$A$6:$A$115,A13,Assessment!$I$6:$I$115,"NOT ASSESSED")</f>
        <v/>
      </c>
      <c r="F13" s="17">
        <f>SUMIF(Assessment!$A$6:$A$115,A13,Assessment!$L$6:$L$115)</f>
        <v/>
      </c>
      <c r="G13" s="17">
        <f>SUMIF(Assessment!$A$6:$A$115,A13,Assessment!$N$6:$N$115)</f>
        <v/>
      </c>
      <c r="H13" s="18">
        <f>IF(B13=0,0,(B13-E13)/B13)</f>
        <v/>
      </c>
      <c r="I13" s="17">
        <f>F13-G13</f>
        <v/>
      </c>
      <c r="J13" s="17">
        <f>IF(E13&gt;0,"INCOMPLETE",IF(D13=0,"READY","NEEDS WORK"))</f>
        <v/>
      </c>
    </row>
    <row r="14">
      <c r="A14" s="17" t="inlineStr">
        <is>
          <t>PS</t>
        </is>
      </c>
      <c r="B14" s="17">
        <f>COUNTIF(Assessment!$A$6:$A$115,A14)</f>
        <v/>
      </c>
      <c r="C14" s="17">
        <f>COUNTIFS(Assessment!$A$6:$A$115,A14,Assessment!$I$6:$I$115,"MET")</f>
        <v/>
      </c>
      <c r="D14" s="17">
        <f>COUNTIFS(Assessment!$A$6:$A$115,A14,Assessment!$I$6:$I$115,"NOT MET")</f>
        <v/>
      </c>
      <c r="E14" s="17">
        <f>COUNTIFS(Assessment!$A$6:$A$115,A14,Assessment!$I$6:$I$115,"NOT ASSESSED")</f>
        <v/>
      </c>
      <c r="F14" s="17">
        <f>SUMIF(Assessment!$A$6:$A$115,A14,Assessment!$L$6:$L$115)</f>
        <v/>
      </c>
      <c r="G14" s="17">
        <f>SUMIF(Assessment!$A$6:$A$115,A14,Assessment!$N$6:$N$115)</f>
        <v/>
      </c>
      <c r="H14" s="18">
        <f>IF(B14=0,0,(B14-E14)/B14)</f>
        <v/>
      </c>
      <c r="I14" s="17">
        <f>F14-G14</f>
        <v/>
      </c>
      <c r="J14" s="17">
        <f>IF(E14&gt;0,"INCOMPLETE",IF(D14=0,"READY","NEEDS WORK"))</f>
        <v/>
      </c>
    </row>
    <row r="15">
      <c r="A15" s="17" t="inlineStr">
        <is>
          <t>PE</t>
        </is>
      </c>
      <c r="B15" s="17">
        <f>COUNTIF(Assessment!$A$6:$A$115,A15)</f>
        <v/>
      </c>
      <c r="C15" s="17">
        <f>COUNTIFS(Assessment!$A$6:$A$115,A15,Assessment!$I$6:$I$115,"MET")</f>
        <v/>
      </c>
      <c r="D15" s="17">
        <f>COUNTIFS(Assessment!$A$6:$A$115,A15,Assessment!$I$6:$I$115,"NOT MET")</f>
        <v/>
      </c>
      <c r="E15" s="17">
        <f>COUNTIFS(Assessment!$A$6:$A$115,A15,Assessment!$I$6:$I$115,"NOT ASSESSED")</f>
        <v/>
      </c>
      <c r="F15" s="17">
        <f>SUMIF(Assessment!$A$6:$A$115,A15,Assessment!$L$6:$L$115)</f>
        <v/>
      </c>
      <c r="G15" s="17">
        <f>SUMIF(Assessment!$A$6:$A$115,A15,Assessment!$N$6:$N$115)</f>
        <v/>
      </c>
      <c r="H15" s="18">
        <f>IF(B15=0,0,(B15-E15)/B15)</f>
        <v/>
      </c>
      <c r="I15" s="17">
        <f>F15-G15</f>
        <v/>
      </c>
      <c r="J15" s="17">
        <f>IF(E15&gt;0,"INCOMPLETE",IF(D15=0,"READY","NEEDS WORK"))</f>
        <v/>
      </c>
    </row>
    <row r="16">
      <c r="A16" s="17" t="inlineStr">
        <is>
          <t>RA</t>
        </is>
      </c>
      <c r="B16" s="17">
        <f>COUNTIF(Assessment!$A$6:$A$115,A16)</f>
        <v/>
      </c>
      <c r="C16" s="17">
        <f>COUNTIFS(Assessment!$A$6:$A$115,A16,Assessment!$I$6:$I$115,"MET")</f>
        <v/>
      </c>
      <c r="D16" s="17">
        <f>COUNTIFS(Assessment!$A$6:$A$115,A16,Assessment!$I$6:$I$115,"NOT MET")</f>
        <v/>
      </c>
      <c r="E16" s="17">
        <f>COUNTIFS(Assessment!$A$6:$A$115,A16,Assessment!$I$6:$I$115,"NOT ASSESSED")</f>
        <v/>
      </c>
      <c r="F16" s="17">
        <f>SUMIF(Assessment!$A$6:$A$115,A16,Assessment!$L$6:$L$115)</f>
        <v/>
      </c>
      <c r="G16" s="17">
        <f>SUMIF(Assessment!$A$6:$A$115,A16,Assessment!$N$6:$N$115)</f>
        <v/>
      </c>
      <c r="H16" s="18">
        <f>IF(B16=0,0,(B16-E16)/B16)</f>
        <v/>
      </c>
      <c r="I16" s="17">
        <f>F16-G16</f>
        <v/>
      </c>
      <c r="J16" s="17">
        <f>IF(E16&gt;0,"INCOMPLETE",IF(D16=0,"READY","NEEDS WORK"))</f>
        <v/>
      </c>
    </row>
    <row r="17">
      <c r="A17" s="17" t="inlineStr">
        <is>
          <t>CA</t>
        </is>
      </c>
      <c r="B17" s="17">
        <f>COUNTIF(Assessment!$A$6:$A$115,A17)</f>
        <v/>
      </c>
      <c r="C17" s="17">
        <f>COUNTIFS(Assessment!$A$6:$A$115,A17,Assessment!$I$6:$I$115,"MET")</f>
        <v/>
      </c>
      <c r="D17" s="17">
        <f>COUNTIFS(Assessment!$A$6:$A$115,A17,Assessment!$I$6:$I$115,"NOT MET")</f>
        <v/>
      </c>
      <c r="E17" s="17">
        <f>COUNTIFS(Assessment!$A$6:$A$115,A17,Assessment!$I$6:$I$115,"NOT ASSESSED")</f>
        <v/>
      </c>
      <c r="F17" s="17">
        <f>SUMIF(Assessment!$A$6:$A$115,A17,Assessment!$L$6:$L$115)</f>
        <v/>
      </c>
      <c r="G17" s="17">
        <f>SUMIF(Assessment!$A$6:$A$115,A17,Assessment!$N$6:$N$115)</f>
        <v/>
      </c>
      <c r="H17" s="18">
        <f>IF(B17=0,0,(B17-E17)/B17)</f>
        <v/>
      </c>
      <c r="I17" s="17">
        <f>F17-G17</f>
        <v/>
      </c>
      <c r="J17" s="17">
        <f>IF(E17&gt;0,"INCOMPLETE",IF(D17=0,"READY","NEEDS WORK"))</f>
        <v/>
      </c>
    </row>
    <row r="18">
      <c r="A18" s="17" t="inlineStr">
        <is>
          <t>SC</t>
        </is>
      </c>
      <c r="B18" s="17">
        <f>COUNTIF(Assessment!$A$6:$A$115,A18)</f>
        <v/>
      </c>
      <c r="C18" s="17">
        <f>COUNTIFS(Assessment!$A$6:$A$115,A18,Assessment!$I$6:$I$115,"MET")</f>
        <v/>
      </c>
      <c r="D18" s="17">
        <f>COUNTIFS(Assessment!$A$6:$A$115,A18,Assessment!$I$6:$I$115,"NOT MET")</f>
        <v/>
      </c>
      <c r="E18" s="17">
        <f>COUNTIFS(Assessment!$A$6:$A$115,A18,Assessment!$I$6:$I$115,"NOT ASSESSED")</f>
        <v/>
      </c>
      <c r="F18" s="17">
        <f>SUMIF(Assessment!$A$6:$A$115,A18,Assessment!$L$6:$L$115)</f>
        <v/>
      </c>
      <c r="G18" s="17">
        <f>SUMIF(Assessment!$A$6:$A$115,A18,Assessment!$N$6:$N$115)</f>
        <v/>
      </c>
      <c r="H18" s="18">
        <f>IF(B18=0,0,(B18-E18)/B18)</f>
        <v/>
      </c>
      <c r="I18" s="17">
        <f>F18-G18</f>
        <v/>
      </c>
      <c r="J18" s="17">
        <f>IF(E18&gt;0,"INCOMPLETE",IF(D18=0,"READY","NEEDS WORK"))</f>
        <v/>
      </c>
    </row>
    <row r="19">
      <c r="A19" s="17" t="inlineStr">
        <is>
          <t>SI</t>
        </is>
      </c>
      <c r="B19" s="17">
        <f>COUNTIF(Assessment!$A$6:$A$115,A19)</f>
        <v/>
      </c>
      <c r="C19" s="17">
        <f>COUNTIFS(Assessment!$A$6:$A$115,A19,Assessment!$I$6:$I$115,"MET")</f>
        <v/>
      </c>
      <c r="D19" s="17">
        <f>COUNTIFS(Assessment!$A$6:$A$115,A19,Assessment!$I$6:$I$115,"NOT MET")</f>
        <v/>
      </c>
      <c r="E19" s="17">
        <f>COUNTIFS(Assessment!$A$6:$A$115,A19,Assessment!$I$6:$I$115,"NOT ASSESSED")</f>
        <v/>
      </c>
      <c r="F19" s="17">
        <f>SUMIF(Assessment!$A$6:$A$115,A19,Assessment!$L$6:$L$115)</f>
        <v/>
      </c>
      <c r="G19" s="17">
        <f>SUMIF(Assessment!$A$6:$A$115,A19,Assessment!$N$6:$N$115)</f>
        <v/>
      </c>
      <c r="H19" s="18">
        <f>IF(B19=0,0,(B19-E19)/B19)</f>
        <v/>
      </c>
      <c r="I19" s="17">
        <f>F19-G19</f>
        <v/>
      </c>
      <c r="J19" s="17">
        <f>IF(E19&gt;0,"INCOMPLETE",IF(D19=0,"READY","NEEDS WORK"))</f>
        <v/>
      </c>
    </row>
  </sheetData>
  <autoFilter ref="A5:J19"/>
  <mergeCells count="2">
    <mergeCell ref="A1:J2"/>
    <mergeCell ref="A3:J3"/>
  </mergeCells>
  <pageMargins left="0.25" right="0.25"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8"/>
  <sheetViews>
    <sheetView showGridLines="0" zoomScale="9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Evidence Register</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Track policies, procedures, configurations, interviews, tests, screenshots, and other supporting evidence.</t>
        </is>
      </c>
      <c r="B3" s="2" t="n"/>
      <c r="C3" s="2" t="n"/>
      <c r="D3" s="2" t="n"/>
      <c r="E3" s="2" t="n"/>
      <c r="F3" s="2" t="n"/>
      <c r="G3" s="2" t="n"/>
      <c r="H3" s="2" t="n"/>
      <c r="I3" s="2" t="n"/>
      <c r="J3" s="2" t="n"/>
    </row>
    <row r="6">
      <c r="B6" s="19" t="inlineStr">
        <is>
          <t>This module will be implemented in the next workbook sprint.</t>
        </is>
      </c>
    </row>
    <row r="7"/>
    <row r="8"/>
  </sheetData>
  <mergeCells count="3">
    <mergeCell ref="A1:J2"/>
    <mergeCell ref="B6:H8"/>
    <mergeCell ref="A3:J3"/>
  </mergeCells>
  <pageMargins left="0.25" right="0.25" top="0.5" bottom="0.5"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J8"/>
  <sheetViews>
    <sheetView showGridLines="0" zoomScale="9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Plan of Action &amp; Milestones</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Track remediation activities for findings assessed as NOT MET.</t>
        </is>
      </c>
      <c r="B3" s="2" t="n"/>
      <c r="C3" s="2" t="n"/>
      <c r="D3" s="2" t="n"/>
      <c r="E3" s="2" t="n"/>
      <c r="F3" s="2" t="n"/>
      <c r="G3" s="2" t="n"/>
      <c r="H3" s="2" t="n"/>
      <c r="I3" s="2" t="n"/>
      <c r="J3" s="2" t="n"/>
    </row>
    <row r="6">
      <c r="B6" s="19" t="inlineStr">
        <is>
          <t>This module will be implemented in the next workbook sprint.</t>
        </is>
      </c>
    </row>
    <row r="7"/>
    <row r="8"/>
  </sheetData>
  <mergeCells count="3">
    <mergeCell ref="A1:J2"/>
    <mergeCell ref="B6:H8"/>
    <mergeCell ref="A3:J3"/>
  </mergeCells>
  <pageMargins left="0.25" right="0.25" top="0.5" bottom="0.5"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8"/>
  <sheetViews>
    <sheetView showGridLines="0" zoomScale="9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SSP Crosswalk</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Map CMMC requirements to System Security Plan sections, policies, procedures, and owners.</t>
        </is>
      </c>
      <c r="B3" s="2" t="n"/>
      <c r="C3" s="2" t="n"/>
      <c r="D3" s="2" t="n"/>
      <c r="E3" s="2" t="n"/>
      <c r="F3" s="2" t="n"/>
      <c r="G3" s="2" t="n"/>
      <c r="H3" s="2" t="n"/>
      <c r="I3" s="2" t="n"/>
      <c r="J3" s="2" t="n"/>
    </row>
    <row r="6">
      <c r="B6" s="19" t="inlineStr">
        <is>
          <t>This module will be implemented in the next workbook sprint.</t>
        </is>
      </c>
    </row>
    <row r="7"/>
    <row r="8"/>
  </sheetData>
  <mergeCells count="3">
    <mergeCell ref="A1:J2"/>
    <mergeCell ref="B6:H8"/>
    <mergeCell ref="A3:J3"/>
  </mergeCells>
  <pageMargins left="0.25" right="0.25" top="0.5" bottom="0.5"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J8"/>
  <sheetViews>
    <sheetView showGridLines="0" zoomScale="9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Assessment History</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Store historical assessment snapshots and track score and readiness trends.</t>
        </is>
      </c>
      <c r="B3" s="2" t="n"/>
      <c r="C3" s="2" t="n"/>
      <c r="D3" s="2" t="n"/>
      <c r="E3" s="2" t="n"/>
      <c r="F3" s="2" t="n"/>
      <c r="G3" s="2" t="n"/>
      <c r="H3" s="2" t="n"/>
      <c r="I3" s="2" t="n"/>
      <c r="J3" s="2" t="n"/>
    </row>
    <row r="6">
      <c r="B6" s="19" t="inlineStr">
        <is>
          <t>This module will be implemented in the next workbook sprint.</t>
        </is>
      </c>
    </row>
    <row r="7"/>
    <row r="8"/>
  </sheetData>
  <mergeCells count="3">
    <mergeCell ref="A1:J2"/>
    <mergeCell ref="B6:H8"/>
    <mergeCell ref="A3:J3"/>
  </mergeCells>
  <pageMargins left="0.25" right="0.25" top="0.5" bottom="0.5"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8"/>
  <sheetViews>
    <sheetView showGridLines="0" zoomScale="9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Executive Report</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Printable management summary of assessment results, risks, and remediation priorities.</t>
        </is>
      </c>
      <c r="B3" s="2" t="n"/>
      <c r="C3" s="2" t="n"/>
      <c r="D3" s="2" t="n"/>
      <c r="E3" s="2" t="n"/>
      <c r="F3" s="2" t="n"/>
      <c r="G3" s="2" t="n"/>
      <c r="H3" s="2" t="n"/>
      <c r="I3" s="2" t="n"/>
      <c r="J3" s="2" t="n"/>
    </row>
    <row r="6">
      <c r="B6" s="19" t="inlineStr">
        <is>
          <t>This module will be implemented in the next workbook sprint.</t>
        </is>
      </c>
    </row>
    <row r="7"/>
    <row r="8"/>
  </sheetData>
  <mergeCells count="3">
    <mergeCell ref="A1:J2"/>
    <mergeCell ref="B6:H8"/>
    <mergeCell ref="A3:J3"/>
  </mergeCells>
  <pageMargins left="0.25" right="0.25" top="0.5" bottom="0.5"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5"/>
  <sheetViews>
    <sheetView showGridLines="0" zoomScale="90" workbookViewId="0">
      <selection activeCell="A1" sqref="A1"/>
    </sheetView>
  </sheetViews>
  <sheetFormatPr baseColWidth="8" defaultRowHeight="15"/>
  <cols>
    <col width="34" customWidth="1" min="2" max="2"/>
    <col width="42" customWidth="1" min="3" max="3"/>
  </cols>
  <sheetData>
    <row r="1" ht="26" customHeight="1">
      <c r="A1" s="1" t="inlineStr">
        <is>
          <t>Workbook Settings</t>
        </is>
      </c>
      <c r="B1" s="2" t="n"/>
      <c r="C1" s="2" t="n"/>
      <c r="D1" s="2" t="n"/>
      <c r="E1" s="2" t="n"/>
      <c r="F1" s="2" t="n"/>
      <c r="G1" s="2" t="n"/>
      <c r="H1" s="2" t="n"/>
    </row>
    <row r="2" ht="14" customHeight="1">
      <c r="A2" s="2" t="n"/>
      <c r="B2" s="2" t="n"/>
      <c r="C2" s="2" t="n"/>
      <c r="D2" s="2" t="n"/>
      <c r="E2" s="2" t="n"/>
      <c r="F2" s="2" t="n"/>
      <c r="G2" s="2" t="n"/>
      <c r="H2" s="2" t="n"/>
    </row>
    <row r="3" ht="22" customHeight="1">
      <c r="A3" s="3" t="inlineStr">
        <is>
          <t>Workbook configuration and official scoring metadata</t>
        </is>
      </c>
      <c r="B3" s="2" t="n"/>
      <c r="C3" s="2" t="n"/>
      <c r="D3" s="2" t="n"/>
      <c r="E3" s="2" t="n"/>
      <c r="F3" s="2" t="n"/>
      <c r="G3" s="2" t="n"/>
      <c r="H3" s="2" t="n"/>
    </row>
    <row r="6">
      <c r="B6" s="20" t="inlineStr">
        <is>
          <t>Workbook Version</t>
        </is>
      </c>
      <c r="C6" s="21" t="inlineStr">
        <is>
          <t>0.2</t>
        </is>
      </c>
    </row>
    <row r="7">
      <c r="B7" s="20" t="inlineStr">
        <is>
          <t>Assessment Guide Version</t>
        </is>
      </c>
      <c r="C7" s="21" t="inlineStr">
        <is>
          <t>2.13</t>
        </is>
      </c>
    </row>
    <row r="8">
      <c r="B8" s="20" t="inlineStr">
        <is>
          <t>Maximum Score</t>
        </is>
      </c>
      <c r="C8" s="21" t="n">
        <v>110</v>
      </c>
    </row>
    <row r="9">
      <c r="B9" s="20" t="inlineStr">
        <is>
          <t>Maximum Deduction</t>
        </is>
      </c>
      <c r="C9" s="21" t="n">
        <v>314</v>
      </c>
    </row>
    <row r="10">
      <c r="B10" s="20" t="inlineStr">
        <is>
          <t>Mathematical Minimum Score</t>
        </is>
      </c>
      <c r="C10" s="21" t="n">
        <v>-204</v>
      </c>
    </row>
    <row r="11">
      <c r="B11" s="20" t="inlineStr">
        <is>
          <t>Requirement Count</t>
        </is>
      </c>
      <c r="C11" s="21" t="n">
        <v>110</v>
      </c>
    </row>
    <row r="12">
      <c r="B12" s="20" t="inlineStr">
        <is>
          <t>Partial Credit Requirements</t>
        </is>
      </c>
      <c r="C12" s="21" t="n">
        <v>2</v>
      </c>
    </row>
    <row r="13">
      <c r="B13" s="20" t="inlineStr">
        <is>
          <t>Assessment Level</t>
        </is>
      </c>
      <c r="C13" s="21" t="inlineStr">
        <is>
          <t>CMMC Level 2</t>
        </is>
      </c>
    </row>
    <row r="14">
      <c r="B14" s="20" t="inlineStr">
        <is>
          <t>Scoring Source</t>
        </is>
      </c>
      <c r="C14" s="21" t="inlineStr">
        <is>
          <t>32 CFR 170.24</t>
        </is>
      </c>
    </row>
    <row r="15">
      <c r="B15" s="20" t="inlineStr">
        <is>
          <t>Workbook Generated By</t>
        </is>
      </c>
      <c r="C15" s="21" t="inlineStr">
        <is>
          <t>CMMC Assessment Platform</t>
        </is>
      </c>
    </row>
  </sheetData>
  <mergeCells count="2">
    <mergeCell ref="A1:H2"/>
    <mergeCell ref="A3:H3"/>
  </mergeCells>
  <pageMargins left="0.25" right="0.25" top="0.5" bottom="0.5" header="0.5" footer="0.5"/>
  <pageSetup orientation="landscape" fitToHeight="0" fitToWidth="1"/>
</worksheet>
</file>

<file path=xl/worksheets/sheet1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Assessment Status</t>
        </is>
      </c>
      <c r="B1" t="inlineStr">
        <is>
          <t>Evidence Status</t>
        </is>
      </c>
      <c r="C1" t="inlineStr">
        <is>
          <t>Yes / No</t>
        </is>
      </c>
      <c r="D1" t="inlineStr">
        <is>
          <t>Implementation State</t>
        </is>
      </c>
    </row>
    <row r="2">
      <c r="A2" t="inlineStr">
        <is>
          <t>MET</t>
        </is>
      </c>
      <c r="B2" t="inlineStr">
        <is>
          <t>Not Started</t>
        </is>
      </c>
      <c r="C2" t="inlineStr">
        <is>
          <t>Yes</t>
        </is>
      </c>
      <c r="D2" t="inlineStr">
        <is>
          <t>FULLY IMPLEMENTED</t>
        </is>
      </c>
    </row>
    <row r="3">
      <c r="A3" t="inlineStr">
        <is>
          <t>NOT MET</t>
        </is>
      </c>
      <c r="B3" t="inlineStr">
        <is>
          <t>In Progress</t>
        </is>
      </c>
      <c r="C3" t="inlineStr">
        <is>
          <t>No</t>
        </is>
      </c>
      <c r="D3" t="inlineStr">
        <is>
          <t>PARTIALLY IMPLEMENTED</t>
        </is>
      </c>
    </row>
    <row r="4">
      <c r="A4" t="inlineStr">
        <is>
          <t>NOT APPLICABLE</t>
        </is>
      </c>
      <c r="B4" t="inlineStr">
        <is>
          <t>Complete</t>
        </is>
      </c>
      <c r="D4" t="inlineStr">
        <is>
          <t>NOT IMPLEMENTED</t>
        </is>
      </c>
    </row>
    <row r="5">
      <c r="A5" t="inlineStr">
        <is>
          <t>NOT ASSESSED</t>
        </is>
      </c>
      <c r="B5" t="inlineStr">
        <is>
          <t>Not Applicable</t>
        </is>
      </c>
      <c r="D5" t="inlineStr">
        <is>
          <t>NOT APPLICABLE</t>
        </is>
      </c>
    </row>
    <row r="6">
      <c r="D6" t="inlineStr">
        <is>
          <t>NOT ASSESSED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2026-08-05T08:04:59Z</dcterms:created>
  <dcterms:modified xsi:type="dcterms:W3CDTF">2026-08-05T08:05:01Z</dcterms:modified>
</cp:coreProperties>
</file>