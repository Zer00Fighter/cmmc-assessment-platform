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ashboard" sheetId="2" state="visible" r:id="rId2"/>
    <sheet name="Assessment" sheetId="3" state="visible" r:id="rId3"/>
    <sheet name="Domain Summary" sheetId="4" state="visible" r:id="rId4"/>
    <sheet name="Evidence" sheetId="5" state="visible" r:id="rId5"/>
    <sheet name="POA&amp;M" sheetId="6" state="visible" r:id="rId6"/>
    <sheet name="SSP Crosswalk" sheetId="7" state="visible" r:id="rId7"/>
    <sheet name="Assessment History" sheetId="8" state="visible" r:id="rId8"/>
    <sheet name="Executive Report" sheetId="9" state="visible" r:id="rId9"/>
    <sheet name="Settings" sheetId="10" state="visible" r:id="rId10"/>
    <sheet name="_Lists" sheetId="11" state="veryHidden" r:id="rId11"/>
  </sheets>
  <definedNames>
    <definedName name="_xlnm._FilterDatabase" localSheetId="2" hidden="1">'Assessment'!$A$5:$O$115</definedName>
    <definedName name="_xlnm.Print_Titles" localSheetId="2">'Assessment'!$1:$5</definedName>
    <definedName name="_xlnm._FilterDatabase" localSheetId="3" hidden="1">'Domain Summary'!$A$5:$H$19</definedName>
  </definedNames>
  <calcPr calcId="124519" calcMode="auto" fullCalcOnLoad="1" forceFullCalc="1"/>
</workbook>
</file>

<file path=xl/styles.xml><?xml version="1.0" encoding="utf-8"?>
<styleSheet xmlns="http://schemas.openxmlformats.org/spreadsheetml/2006/main">
  <numFmts count="0"/>
  <fonts count="7">
    <font>
      <name val="Calibri"/>
      <family val="2"/>
      <color theme="1"/>
      <sz val="11"/>
      <scheme val="minor"/>
    </font>
    <font>
      <name val="Aptos Display"/>
      <b val="1"/>
      <color rgb="00FFFFFF"/>
      <sz val="24"/>
    </font>
    <font>
      <name val="Aptos"/>
      <color rgb="00FFFFFF"/>
      <sz val="12"/>
    </font>
    <font>
      <name val="Aptos"/>
      <b val="1"/>
      <color rgb="00FFFFFF"/>
      <sz val="10"/>
    </font>
    <font>
      <name val="Aptos"/>
      <color rgb="002F75B5"/>
      <sz val="10"/>
    </font>
    <font>
      <name val="Aptos Display"/>
      <b val="1"/>
      <color rgb="00FFFFFF"/>
      <sz val="14"/>
    </font>
    <font>
      <name val="Aptos"/>
      <color rgb="00000000"/>
      <sz val="10"/>
    </font>
  </fonts>
  <fills count="8">
    <fill>
      <patternFill/>
    </fill>
    <fill>
      <patternFill patternType="gray125"/>
    </fill>
    <fill>
      <patternFill patternType="solid">
        <fgColor rgb="000B1F33"/>
      </patternFill>
    </fill>
    <fill>
      <patternFill patternType="solid">
        <fgColor rgb="0017365D"/>
      </patternFill>
    </fill>
    <fill>
      <patternFill patternType="solid">
        <fgColor rgb="00FFFDEB"/>
      </patternFill>
    </fill>
    <fill>
      <patternFill patternType="solid">
        <fgColor rgb="00D9EAF7"/>
      </patternFill>
    </fill>
    <fill>
      <patternFill patternType="solid">
        <fgColor rgb="002F75B5"/>
      </patternFill>
    </fill>
    <fill>
      <patternFill patternType="solid">
        <fgColor rgb="00F4F6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top" wrapText="1"/>
    </xf>
    <xf numFmtId="0" fontId="0" fillId="2" borderId="0" pivotButton="0" quotePrefix="0" xfId="0"/>
    <xf numFmtId="0" fontId="2" fillId="2" borderId="0" applyAlignment="1" pivotButton="0" quotePrefix="0" xfId="0">
      <alignment horizontal="left" vertical="top" wrapText="1"/>
    </xf>
    <xf numFmtId="0" fontId="3" fillId="3" borderId="1" applyAlignment="1" pivotButton="0" quotePrefix="0" xfId="0">
      <alignment horizontal="left" vertical="top" wrapText="1"/>
    </xf>
    <xf numFmtId="0" fontId="4" fillId="4" borderId="1" applyAlignment="1" applyProtection="1" pivotButton="0" quotePrefix="0" xfId="0">
      <alignment horizontal="left" vertical="top" wrapText="1"/>
      <protection locked="0" hidden="0"/>
    </xf>
    <xf numFmtId="0" fontId="5" fillId="3" borderId="0" pivotButton="0" quotePrefix="0" xfId="0"/>
    <xf numFmtId="0" fontId="6" fillId="5" borderId="1" applyAlignment="1" pivotButton="0" quotePrefix="0" xfId="0">
      <alignment horizontal="left" vertical="top" wrapText="1"/>
    </xf>
    <xf numFmtId="0" fontId="3"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3" fillId="6" borderId="0" pivotButton="0" quotePrefix="0" xfId="0"/>
    <xf numFmtId="9" fontId="0" fillId="7" borderId="1" pivotButton="0" quotePrefix="0" xfId="0"/>
    <xf numFmtId="0" fontId="0" fillId="7" borderId="1" pivotButton="0" quotePrefix="0" xfId="0"/>
    <xf numFmtId="0" fontId="6" fillId="0" borderId="1" applyAlignment="1" pivotButton="0" quotePrefix="0" xfId="0">
      <alignment horizontal="left" vertical="top" wrapText="1"/>
    </xf>
    <xf numFmtId="0" fontId="6" fillId="4" borderId="1" applyAlignment="1" applyProtection="1" pivotButton="0" quotePrefix="0" xfId="0">
      <alignment horizontal="left" vertical="top" wrapText="1"/>
      <protection locked="0" hidden="0"/>
    </xf>
    <xf numFmtId="0" fontId="6" fillId="7" borderId="1" applyAlignment="1" pivotButton="0" quotePrefix="0" xfId="0">
      <alignment horizontal="left" vertical="top" wrapText="1"/>
    </xf>
    <xf numFmtId="0" fontId="6" fillId="0" borderId="1" applyAlignment="1" pivotButton="0" quotePrefix="0" xfId="0">
      <alignment horizontal="center" vertical="center" wrapText="1"/>
    </xf>
    <xf numFmtId="9" fontId="6" fillId="0" borderId="1" applyAlignment="1" pivotButton="0" quotePrefix="0" xfId="0">
      <alignment horizontal="center" vertical="center" wrapText="1"/>
    </xf>
    <xf numFmtId="0" fontId="6" fillId="5" borderId="1" applyAlignment="1" pivotButton="0" quotePrefix="0" xfId="0">
      <alignment horizontal="center" vertical="center" wrapText="1"/>
    </xf>
    <xf numFmtId="0" fontId="3" fillId="3" borderId="1" pivotButton="0" quotePrefix="0" xfId="0"/>
    <xf numFmtId="0" fontId="4" fillId="4" borderId="1" applyProtection="1" pivotButton="0" quotePrefix="0" xfId="0">
      <protection locked="0" hidden="0"/>
    </xf>
  </cellXfs>
  <cellStyles count="1">
    <cellStyle name="Normal" xfId="0" builtinId="0" hidden="0"/>
  </cellStyles>
  <dxfs count="3">
    <dxf>
      <fill>
        <patternFill patternType="solid">
          <fgColor rgb="00E2F0D9"/>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20"/>
  <sheetViews>
    <sheetView showGridLines="0" zoomScale="90" workbookViewId="0">
      <selection activeCell="A1" sqref="A1"/>
    </sheetView>
  </sheetViews>
  <sheetFormatPr baseColWidth="8" defaultRowHeight="15"/>
  <cols>
    <col width="3" customWidth="1" min="1" max="1"/>
    <col width="24" customWidth="1" min="2" max="2"/>
    <col width="45" customWidth="1" min="3" max="3"/>
    <col width="4" customWidth="1" min="4" max="4"/>
    <col width="18" customWidth="1" min="5" max="5"/>
    <col width="18" customWidth="1" min="6" max="6"/>
    <col width="18" customWidth="1" min="7" max="7"/>
    <col width="18" customWidth="1" min="8" max="8"/>
    <col width="18" customWidth="1" min="9" max="9"/>
    <col width="18" customWidth="1" min="10" max="10"/>
  </cols>
  <sheetData>
    <row r="1" ht="26" customHeight="1">
      <c r="A1" s="1" t="inlineStr">
        <is>
          <t>CMMC Level 2 Assessment Platform</t>
        </is>
      </c>
      <c r="B1" s="2" t="n"/>
      <c r="C1" s="2" t="n"/>
      <c r="D1" s="2" t="n"/>
      <c r="E1" s="2" t="n"/>
      <c r="F1" s="2" t="n"/>
      <c r="G1" s="2" t="n"/>
      <c r="H1" s="2" t="n"/>
      <c r="I1" s="2" t="n"/>
      <c r="J1" s="2" t="n"/>
    </row>
    <row r="2" ht="14" customHeight="1">
      <c r="A2" s="2" t="n"/>
      <c r="B2" s="2" t="n"/>
      <c r="C2" s="2" t="n"/>
      <c r="D2" s="2" t="n"/>
      <c r="E2" s="2" t="n"/>
      <c r="F2" s="2" t="n"/>
      <c r="G2" s="2" t="n"/>
      <c r="H2" s="2" t="n"/>
      <c r="I2" s="2" t="n"/>
      <c r="J2" s="2" t="n"/>
    </row>
    <row r="3" ht="22" customHeight="1">
      <c r="A3" s="3" t="inlineStr">
        <is>
          <t>Readiness, evidence, POA&amp;M, SSP mapping, and SPRS assessment workbook</t>
        </is>
      </c>
      <c r="B3" s="2" t="n"/>
      <c r="C3" s="2" t="n"/>
      <c r="D3" s="2" t="n"/>
      <c r="E3" s="2" t="n"/>
      <c r="F3" s="2" t="n"/>
      <c r="G3" s="2" t="n"/>
      <c r="H3" s="2" t="n"/>
      <c r="I3" s="2" t="n"/>
      <c r="J3" s="2" t="n"/>
    </row>
    <row r="6">
      <c r="B6" s="4" t="inlineStr">
        <is>
          <t>Organization Name</t>
        </is>
      </c>
      <c r="C6" s="5" t="inlineStr"/>
    </row>
    <row r="7">
      <c r="B7" s="4" t="inlineStr">
        <is>
          <t>Assessment Scope</t>
        </is>
      </c>
      <c r="C7" s="5" t="inlineStr"/>
    </row>
    <row r="8">
      <c r="B8" s="4" t="inlineStr">
        <is>
          <t>CAGE Code</t>
        </is>
      </c>
      <c r="C8" s="5" t="inlineStr"/>
    </row>
    <row r="9">
      <c r="B9" s="4" t="inlineStr">
        <is>
          <t>Assessment Type</t>
        </is>
      </c>
      <c r="C9" s="5" t="inlineStr">
        <is>
          <t>Level 2 Self-Assessment</t>
        </is>
      </c>
    </row>
    <row r="10">
      <c r="B10" s="4" t="inlineStr">
        <is>
          <t>Assessment Date</t>
        </is>
      </c>
      <c r="C10" s="5" t="inlineStr"/>
    </row>
    <row r="11">
      <c r="B11" s="4" t="inlineStr">
        <is>
          <t>Lead Assessor</t>
        </is>
      </c>
      <c r="C11" s="5" t="inlineStr"/>
    </row>
    <row r="12">
      <c r="B12" s="4" t="inlineStr">
        <is>
          <t>Workbook Version</t>
        </is>
      </c>
      <c r="C12" s="5" t="inlineStr">
        <is>
          <t>0.1</t>
        </is>
      </c>
    </row>
    <row r="13">
      <c r="B13" s="4" t="inlineStr">
        <is>
          <t>Assessment Guide</t>
        </is>
      </c>
      <c r="C13" s="5" t="inlineStr">
        <is>
          <t>Level 2 Version 2.13</t>
        </is>
      </c>
    </row>
    <row r="16">
      <c r="B16" s="6" t="inlineStr">
        <is>
          <t>Instructions</t>
        </is>
      </c>
    </row>
    <row r="17">
      <c r="B17" s="7" t="inlineStr">
        <is>
          <t>Complete the organization metadata above, then use the Assessment worksheet to evaluate all 110 CMMC Level 2 requirements. Yellow cells are intended for user input. Gray cells contain formulas or system-generated values.</t>
        </is>
      </c>
    </row>
    <row r="18"/>
    <row r="19"/>
    <row r="20"/>
  </sheetData>
  <mergeCells count="3">
    <mergeCell ref="B17:H20"/>
    <mergeCell ref="A1:J2"/>
    <mergeCell ref="A3:J3"/>
  </mergeCells>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M12"/>
  <sheetViews>
    <sheetView showGridLines="0" zoomScale="9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26" customHeight="1">
      <c r="A1" s="1" t="inlineStr">
        <is>
          <t>Executive Dashboard</t>
        </is>
      </c>
      <c r="B1" s="2" t="n"/>
      <c r="C1" s="2" t="n"/>
      <c r="D1" s="2" t="n"/>
      <c r="E1" s="2" t="n"/>
      <c r="F1" s="2" t="n"/>
      <c r="G1" s="2" t="n"/>
      <c r="H1" s="2" t="n"/>
      <c r="I1" s="2" t="n"/>
      <c r="J1" s="2" t="n"/>
      <c r="K1" s="2" t="n"/>
      <c r="L1" s="2" t="n"/>
      <c r="M1" s="2" t="n"/>
    </row>
    <row r="2" ht="14" customHeight="1">
      <c r="A2" s="2" t="n"/>
      <c r="B2" s="2" t="n"/>
      <c r="C2" s="2" t="n"/>
      <c r="D2" s="2" t="n"/>
      <c r="E2" s="2" t="n"/>
      <c r="F2" s="2" t="n"/>
      <c r="G2" s="2" t="n"/>
      <c r="H2" s="2" t="n"/>
      <c r="I2" s="2" t="n"/>
      <c r="J2" s="2" t="n"/>
      <c r="K2" s="2" t="n"/>
      <c r="L2" s="2" t="n"/>
      <c r="M2" s="2" t="n"/>
    </row>
    <row r="3" ht="22" customHeight="1">
      <c r="A3" s="3" t="inlineStr">
        <is>
          <t>Assessment readiness and compliance summary</t>
        </is>
      </c>
      <c r="B3" s="2" t="n"/>
      <c r="C3" s="2" t="n"/>
      <c r="D3" s="2" t="n"/>
      <c r="E3" s="2" t="n"/>
      <c r="F3" s="2" t="n"/>
      <c r="G3" s="2" t="n"/>
      <c r="H3" s="2" t="n"/>
      <c r="I3" s="2" t="n"/>
      <c r="J3" s="2" t="n"/>
      <c r="K3" s="2" t="n"/>
      <c r="L3" s="2" t="n"/>
      <c r="M3" s="2" t="n"/>
    </row>
    <row r="6">
      <c r="B6" s="8" t="inlineStr">
        <is>
          <t>Current Score</t>
        </is>
      </c>
      <c r="E6" s="8" t="inlineStr">
        <is>
          <t>Requirements Met</t>
        </is>
      </c>
      <c r="H6" s="8" t="inlineStr">
        <is>
          <t>Requirements Not Met</t>
        </is>
      </c>
      <c r="K6" s="8" t="inlineStr">
        <is>
          <t>Not Assessed</t>
        </is>
      </c>
    </row>
    <row r="7">
      <c r="B7" s="9">
        <f>110-SUM(Assessment!J6:J115)</f>
        <v/>
      </c>
      <c r="E7" s="9">
        <f>COUNTIF(Assessment!H6:H115,"MET")</f>
        <v/>
      </c>
      <c r="H7" s="9">
        <f>COUNTIF(Assessment!H6:H115,"NOT MET")</f>
        <v/>
      </c>
      <c r="K7" s="9">
        <f>COUNTIF(Assessment!H6:H115,"NOT ASSESSED")</f>
        <v/>
      </c>
    </row>
    <row r="8"/>
    <row r="9"/>
    <row r="12">
      <c r="B12" s="10" t="inlineStr">
        <is>
          <t>Assessment Completion</t>
        </is>
      </c>
      <c r="C12" s="11">
        <f>IFERROR((COUNTIF(Assessment!H6:H115,"MET")+COUNTIF(Assessment!H6:H115,"NOT MET")+COUNTIF(Assessment!H6:H115,"NOT APPLICABLE"))/110,0)</f>
        <v/>
      </c>
      <c r="E12" s="10" t="inlineStr">
        <is>
          <t>Evidence Complete</t>
        </is>
      </c>
      <c r="F12" s="12">
        <f>COUNTIF(Assessment!K6:K115,"Complete")</f>
        <v/>
      </c>
      <c r="H12" s="10" t="inlineStr">
        <is>
          <t>POA&amp;M Items</t>
        </is>
      </c>
      <c r="I12" s="12">
        <f>COUNTIF(Assessment!O6:O115,"Yes")</f>
        <v/>
      </c>
    </row>
  </sheetData>
  <mergeCells count="10">
    <mergeCell ref="E7:F9"/>
    <mergeCell ref="K7:L9"/>
    <mergeCell ref="B6:C6"/>
    <mergeCell ref="H7:I9"/>
    <mergeCell ref="E6:F6"/>
    <mergeCell ref="H6:I6"/>
    <mergeCell ref="A1:M2"/>
    <mergeCell ref="B7:C9"/>
    <mergeCell ref="A3:M3"/>
    <mergeCell ref="K6:L6"/>
  </mergeCells>
  <pageMargins left="0.25" right="0.25"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O115"/>
  <sheetViews>
    <sheetView showGridLines="0" zoomScale="80" workbookViewId="0">
      <pane ySplit="5" topLeftCell="A6" activePane="bottomLeft" state="frozen"/>
      <selection pane="bottomLeft" activeCell="A1" sqref="A1"/>
    </sheetView>
  </sheetViews>
  <sheetFormatPr baseColWidth="8" defaultRowHeight="15"/>
  <cols>
    <col width="10" customWidth="1" min="1" max="1"/>
    <col width="18" customWidth="1" min="2" max="2"/>
    <col width="34" customWidth="1" min="3" max="3"/>
    <col width="65" customWidth="1" min="4" max="4"/>
    <col width="12" customWidth="1" min="5" max="5"/>
    <col width="12" customWidth="1" min="6" max="6"/>
    <col width="12" customWidth="1" min="7" max="7"/>
    <col width="18" customWidth="1" min="8" max="8"/>
    <col width="12" customWidth="1" min="9" max="9"/>
    <col width="12" customWidth="1" min="10" max="10"/>
    <col width="18" customWidth="1" min="11" max="11"/>
    <col width="22" customWidth="1" min="12" max="12"/>
    <col width="20" customWidth="1" min="13" max="13"/>
    <col width="45" customWidth="1" min="14" max="14"/>
    <col width="16" customWidth="1" min="15" max="15"/>
  </cols>
  <sheetData>
    <row r="1" ht="26" customHeight="1">
      <c r="A1" s="1" t="inlineStr">
        <is>
          <t>CMMC Level 2 Requirement Assessment</t>
        </is>
      </c>
      <c r="B1" s="2" t="n"/>
      <c r="C1" s="2" t="n"/>
      <c r="D1" s="2" t="n"/>
      <c r="E1" s="2" t="n"/>
      <c r="F1" s="2" t="n"/>
      <c r="G1" s="2" t="n"/>
      <c r="H1" s="2" t="n"/>
      <c r="I1" s="2" t="n"/>
      <c r="J1" s="2" t="n"/>
      <c r="K1" s="2" t="n"/>
      <c r="L1" s="2" t="n"/>
      <c r="M1" s="2" t="n"/>
      <c r="N1" s="2" t="n"/>
      <c r="O1" s="2" t="n"/>
    </row>
    <row r="2" ht="14" customHeight="1">
      <c r="A2" s="2" t="n"/>
      <c r="B2" s="2" t="n"/>
      <c r="C2" s="2" t="n"/>
      <c r="D2" s="2" t="n"/>
      <c r="E2" s="2" t="n"/>
      <c r="F2" s="2" t="n"/>
      <c r="G2" s="2" t="n"/>
      <c r="H2" s="2" t="n"/>
      <c r="I2" s="2" t="n"/>
      <c r="J2" s="2" t="n"/>
      <c r="K2" s="2" t="n"/>
      <c r="L2" s="2" t="n"/>
      <c r="M2" s="2" t="n"/>
      <c r="N2" s="2" t="n"/>
      <c r="O2" s="2" t="n"/>
    </row>
    <row r="3" ht="22" customHeight="1">
      <c r="A3" s="3" t="inlineStr">
        <is>
          <t>Complete status, evidence, ownership, SSP mapping, and assessor notes for all 110 requirements.</t>
        </is>
      </c>
      <c r="B3" s="2" t="n"/>
      <c r="C3" s="2" t="n"/>
      <c r="D3" s="2" t="n"/>
      <c r="E3" s="2" t="n"/>
      <c r="F3" s="2" t="n"/>
      <c r="G3" s="2" t="n"/>
      <c r="H3" s="2" t="n"/>
      <c r="I3" s="2" t="n"/>
      <c r="J3" s="2" t="n"/>
      <c r="K3" s="2" t="n"/>
      <c r="L3" s="2" t="n"/>
      <c r="M3" s="2" t="n"/>
      <c r="N3" s="2" t="n"/>
      <c r="O3" s="2" t="n"/>
    </row>
    <row r="5" ht="32" customHeight="1">
      <c r="A5" s="8" t="inlineStr">
        <is>
          <t>Domain</t>
        </is>
      </c>
      <c r="B5" s="8" t="inlineStr">
        <is>
          <t>Requirement ID</t>
        </is>
      </c>
      <c r="C5" s="8" t="inlineStr">
        <is>
          <t>Title</t>
        </is>
      </c>
      <c r="D5" s="8" t="inlineStr">
        <is>
          <t>Requirement Statement</t>
        </is>
      </c>
      <c r="E5" s="8" t="inlineStr">
        <is>
          <t>Source Start</t>
        </is>
      </c>
      <c r="F5" s="8" t="inlineStr">
        <is>
          <t>Source End</t>
        </is>
      </c>
      <c r="G5" s="8" t="inlineStr">
        <is>
          <t>Applicable</t>
        </is>
      </c>
      <c r="H5" s="8" t="inlineStr">
        <is>
          <t>Status</t>
        </is>
      </c>
      <c r="I5" s="8" t="inlineStr">
        <is>
          <t>Deduction</t>
        </is>
      </c>
      <c r="J5" s="8" t="inlineStr">
        <is>
          <t>Lost Points</t>
        </is>
      </c>
      <c r="K5" s="8" t="inlineStr">
        <is>
          <t>Evidence Status</t>
        </is>
      </c>
      <c r="L5" s="8" t="inlineStr">
        <is>
          <t>Control Owner</t>
        </is>
      </c>
      <c r="M5" s="8" t="inlineStr">
        <is>
          <t>SSP Reference</t>
        </is>
      </c>
      <c r="N5" s="8" t="inlineStr">
        <is>
          <t>Assessor Notes</t>
        </is>
      </c>
      <c r="O5" s="8" t="inlineStr">
        <is>
          <t>POA&amp;M Required</t>
        </is>
      </c>
    </row>
    <row r="6">
      <c r="A6" s="13" t="inlineStr">
        <is>
          <t>AC</t>
        </is>
      </c>
      <c r="B6" s="13" t="inlineStr">
        <is>
          <t>AC.L2-3.1.1</t>
        </is>
      </c>
      <c r="C6" s="13" t="inlineStr">
        <is>
          <t>Authorized Access Control [CUI Data]</t>
        </is>
      </c>
      <c r="D6" s="13" t="inlineStr">
        <is>
          <t>Limit system access to authorized users, processes acting on behalf of authorized users, and devices (including other systems).</t>
        </is>
      </c>
      <c r="E6" s="13" t="n">
        <v>22</v>
      </c>
      <c r="F6" s="13" t="n">
        <v>24</v>
      </c>
      <c r="G6" s="14" t="inlineStr">
        <is>
          <t>Yes</t>
        </is>
      </c>
      <c r="H6" s="14" t="inlineStr">
        <is>
          <t>NOT ASSESSED</t>
        </is>
      </c>
      <c r="I6" s="13" t="n">
        <v>1</v>
      </c>
      <c r="J6" s="15">
        <f>IF(OR(H6="MET",H6="NOT APPLICABLE"),0,IF(H6="NOT MET",I6,0))</f>
        <v/>
      </c>
      <c r="K6" s="14" t="inlineStr">
        <is>
          <t>Not Started</t>
        </is>
      </c>
      <c r="L6" s="14" t="inlineStr"/>
      <c r="M6" s="14" t="inlineStr"/>
      <c r="N6" s="14" t="inlineStr"/>
      <c r="O6" s="15">
        <f>IF(H6="NOT MET","Yes","No")</f>
        <v/>
      </c>
    </row>
    <row r="7">
      <c r="A7" s="13" t="inlineStr">
        <is>
          <t>AC</t>
        </is>
      </c>
      <c r="B7" s="13" t="inlineStr">
        <is>
          <t>AC.L2-3.1.2</t>
        </is>
      </c>
      <c r="C7" s="13" t="inlineStr">
        <is>
          <t>Transaction &amp; Function Control</t>
        </is>
      </c>
      <c r="D7" s="13" t="inlineStr">
        <is>
          <t>Limit system access to the types of transactions and functions that authorized users are permitted to execute.</t>
        </is>
      </c>
      <c r="E7" s="13" t="n">
        <v>25</v>
      </c>
      <c r="F7" s="13" t="n">
        <v>26</v>
      </c>
      <c r="G7" s="14" t="inlineStr">
        <is>
          <t>Yes</t>
        </is>
      </c>
      <c r="H7" s="14" t="inlineStr">
        <is>
          <t>NOT ASSESSED</t>
        </is>
      </c>
      <c r="I7" s="13" t="n">
        <v>1</v>
      </c>
      <c r="J7" s="15">
        <f>IF(OR(H7="MET",H7="NOT APPLICABLE"),0,IF(H7="NOT MET",I7,0))</f>
        <v/>
      </c>
      <c r="K7" s="14" t="inlineStr">
        <is>
          <t>Not Started</t>
        </is>
      </c>
      <c r="L7" s="14" t="inlineStr"/>
      <c r="M7" s="14" t="inlineStr"/>
      <c r="N7" s="14" t="inlineStr"/>
      <c r="O7" s="15">
        <f>IF(H7="NOT MET","Yes","No")</f>
        <v/>
      </c>
    </row>
    <row r="8">
      <c r="A8" s="13" t="inlineStr">
        <is>
          <t>AC</t>
        </is>
      </c>
      <c r="B8" s="13" t="inlineStr">
        <is>
          <t>AC.L2-3.1.3</t>
        </is>
      </c>
      <c r="C8" s="13" t="inlineStr">
        <is>
          <t>Control CUI Flow</t>
        </is>
      </c>
      <c r="D8" s="13" t="inlineStr">
        <is>
          <t>Control the flow of CUI in accordance with approved authorizations.</t>
        </is>
      </c>
      <c r="E8" s="13" t="n">
        <v>27</v>
      </c>
      <c r="F8" s="13" t="n">
        <v>29</v>
      </c>
      <c r="G8" s="14" t="inlineStr">
        <is>
          <t>Yes</t>
        </is>
      </c>
      <c r="H8" s="14" t="inlineStr">
        <is>
          <t>NOT ASSESSED</t>
        </is>
      </c>
      <c r="I8" s="13" t="n">
        <v>1</v>
      </c>
      <c r="J8" s="15">
        <f>IF(OR(H8="MET",H8="NOT APPLICABLE"),0,IF(H8="NOT MET",I8,0))</f>
        <v/>
      </c>
      <c r="K8" s="14" t="inlineStr">
        <is>
          <t>Not Started</t>
        </is>
      </c>
      <c r="L8" s="14" t="inlineStr"/>
      <c r="M8" s="14" t="inlineStr"/>
      <c r="N8" s="14" t="inlineStr"/>
      <c r="O8" s="15">
        <f>IF(H8="NOT MET","Yes","No")</f>
        <v/>
      </c>
    </row>
    <row r="9">
      <c r="A9" s="13" t="inlineStr">
        <is>
          <t>AC</t>
        </is>
      </c>
      <c r="B9" s="13" t="inlineStr">
        <is>
          <t>AC.L2-3.1.4</t>
        </is>
      </c>
      <c r="C9" s="13" t="inlineStr">
        <is>
          <t>Separation of Duties</t>
        </is>
      </c>
      <c r="D9" s="13" t="inlineStr">
        <is>
          <t>Separate the duties of individuals to reduce the risk of malevolent activity without collusion.</t>
        </is>
      </c>
      <c r="E9" s="13" t="n">
        <v>30</v>
      </c>
      <c r="F9" s="13" t="n">
        <v>31</v>
      </c>
      <c r="G9" s="14" t="inlineStr">
        <is>
          <t>Yes</t>
        </is>
      </c>
      <c r="H9" s="14" t="inlineStr">
        <is>
          <t>NOT ASSESSED</t>
        </is>
      </c>
      <c r="I9" s="13" t="n">
        <v>1</v>
      </c>
      <c r="J9" s="15">
        <f>IF(OR(H9="MET",H9="NOT APPLICABLE"),0,IF(H9="NOT MET",I9,0))</f>
        <v/>
      </c>
      <c r="K9" s="14" t="inlineStr">
        <is>
          <t>Not Started</t>
        </is>
      </c>
      <c r="L9" s="14" t="inlineStr"/>
      <c r="M9" s="14" t="inlineStr"/>
      <c r="N9" s="14" t="inlineStr"/>
      <c r="O9" s="15">
        <f>IF(H9="NOT MET","Yes","No")</f>
        <v/>
      </c>
    </row>
    <row r="10">
      <c r="A10" s="13" t="inlineStr">
        <is>
          <t>AC</t>
        </is>
      </c>
      <c r="B10" s="13" t="inlineStr">
        <is>
          <t>AC.L2-3.1.5</t>
        </is>
      </c>
      <c r="C10" s="13" t="inlineStr">
        <is>
          <t>Least Privilege</t>
        </is>
      </c>
      <c r="D10" s="13" t="inlineStr">
        <is>
          <t>Employ the principle of least privilege, including for specific security functions and privileged accounts.</t>
        </is>
      </c>
      <c r="E10" s="13" t="n">
        <v>32</v>
      </c>
      <c r="F10" s="13" t="n">
        <v>34</v>
      </c>
      <c r="G10" s="14" t="inlineStr">
        <is>
          <t>Yes</t>
        </is>
      </c>
      <c r="H10" s="14" t="inlineStr">
        <is>
          <t>NOT ASSESSED</t>
        </is>
      </c>
      <c r="I10" s="13" t="n">
        <v>1</v>
      </c>
      <c r="J10" s="15">
        <f>IF(OR(H10="MET",H10="NOT APPLICABLE"),0,IF(H10="NOT MET",I10,0))</f>
        <v/>
      </c>
      <c r="K10" s="14" t="inlineStr">
        <is>
          <t>Not Started</t>
        </is>
      </c>
      <c r="L10" s="14" t="inlineStr"/>
      <c r="M10" s="14" t="inlineStr"/>
      <c r="N10" s="14" t="inlineStr"/>
      <c r="O10" s="15">
        <f>IF(H10="NOT MET","Yes","No")</f>
        <v/>
      </c>
    </row>
    <row r="11">
      <c r="A11" s="13" t="inlineStr">
        <is>
          <t>AC</t>
        </is>
      </c>
      <c r="B11" s="13" t="inlineStr">
        <is>
          <t>AC.L2-3.1.6</t>
        </is>
      </c>
      <c r="C11" s="13" t="inlineStr">
        <is>
          <t>Non-Privileged Account Use</t>
        </is>
      </c>
      <c r="D11" s="13" t="inlineStr">
        <is>
          <t>Use non-privileged accounts or roles when accessing nonsecurity functions.</t>
        </is>
      </c>
      <c r="E11" s="13" t="n">
        <v>35</v>
      </c>
      <c r="F11" s="13" t="n">
        <v>36</v>
      </c>
      <c r="G11" s="14" t="inlineStr">
        <is>
          <t>Yes</t>
        </is>
      </c>
      <c r="H11" s="14" t="inlineStr">
        <is>
          <t>NOT ASSESSED</t>
        </is>
      </c>
      <c r="I11" s="13" t="n">
        <v>1</v>
      </c>
      <c r="J11" s="15">
        <f>IF(OR(H11="MET",H11="NOT APPLICABLE"),0,IF(H11="NOT MET",I11,0))</f>
        <v/>
      </c>
      <c r="K11" s="14" t="inlineStr">
        <is>
          <t>Not Started</t>
        </is>
      </c>
      <c r="L11" s="14" t="inlineStr"/>
      <c r="M11" s="14" t="inlineStr"/>
      <c r="N11" s="14" t="inlineStr"/>
      <c r="O11" s="15">
        <f>IF(H11="NOT MET","Yes","No")</f>
        <v/>
      </c>
    </row>
    <row r="12">
      <c r="A12" s="13" t="inlineStr">
        <is>
          <t>AC</t>
        </is>
      </c>
      <c r="B12" s="13" t="inlineStr">
        <is>
          <t>AC.L2-3.1.7</t>
        </is>
      </c>
      <c r="C12" s="13" t="inlineStr">
        <is>
          <t>Privileged Functions</t>
        </is>
      </c>
      <c r="D12" s="13" t="inlineStr">
        <is>
          <t>Prevent non-privileged users from executing privileged functions and capture the execution of such functions in audit logs.</t>
        </is>
      </c>
      <c r="E12" s="13" t="n">
        <v>37</v>
      </c>
      <c r="F12" s="13" t="n">
        <v>39</v>
      </c>
      <c r="G12" s="14" t="inlineStr">
        <is>
          <t>Yes</t>
        </is>
      </c>
      <c r="H12" s="14" t="inlineStr">
        <is>
          <t>NOT ASSESSED</t>
        </is>
      </c>
      <c r="I12" s="13" t="n">
        <v>1</v>
      </c>
      <c r="J12" s="15">
        <f>IF(OR(H12="MET",H12="NOT APPLICABLE"),0,IF(H12="NOT MET",I12,0))</f>
        <v/>
      </c>
      <c r="K12" s="14" t="inlineStr">
        <is>
          <t>Not Started</t>
        </is>
      </c>
      <c r="L12" s="14" t="inlineStr"/>
      <c r="M12" s="14" t="inlineStr"/>
      <c r="N12" s="14" t="inlineStr"/>
      <c r="O12" s="15">
        <f>IF(H12="NOT MET","Yes","No")</f>
        <v/>
      </c>
    </row>
    <row r="13">
      <c r="A13" s="13" t="inlineStr">
        <is>
          <t>AC</t>
        </is>
      </c>
      <c r="B13" s="13" t="inlineStr">
        <is>
          <t>AC.L2-3.1.8</t>
        </is>
      </c>
      <c r="C13" s="13" t="inlineStr">
        <is>
          <t>Unsuccessful Logon Attempts</t>
        </is>
      </c>
      <c r="D13" s="13" t="inlineStr">
        <is>
          <t>Limit unsuccessful logon attempts.</t>
        </is>
      </c>
      <c r="E13" s="13" t="n">
        <v>40</v>
      </c>
      <c r="F13" s="13" t="n">
        <v>41</v>
      </c>
      <c r="G13" s="14" t="inlineStr">
        <is>
          <t>Yes</t>
        </is>
      </c>
      <c r="H13" s="14" t="inlineStr">
        <is>
          <t>NOT ASSESSED</t>
        </is>
      </c>
      <c r="I13" s="13" t="n">
        <v>1</v>
      </c>
      <c r="J13" s="15">
        <f>IF(OR(H13="MET",H13="NOT APPLICABLE"),0,IF(H13="NOT MET",I13,0))</f>
        <v/>
      </c>
      <c r="K13" s="14" t="inlineStr">
        <is>
          <t>Not Started</t>
        </is>
      </c>
      <c r="L13" s="14" t="inlineStr"/>
      <c r="M13" s="14" t="inlineStr"/>
      <c r="N13" s="14" t="inlineStr"/>
      <c r="O13" s="15">
        <f>IF(H13="NOT MET","Yes","No")</f>
        <v/>
      </c>
    </row>
    <row r="14">
      <c r="A14" s="13" t="inlineStr">
        <is>
          <t>AC</t>
        </is>
      </c>
      <c r="B14" s="13" t="inlineStr">
        <is>
          <t>AC.L2-3.1.9</t>
        </is>
      </c>
      <c r="C14" s="13" t="inlineStr">
        <is>
          <t>Privacy &amp; Security Notices</t>
        </is>
      </c>
      <c r="D14" s="13" t="inlineStr">
        <is>
          <t>Provide privacy and security notices consistent with applicable CUI rules.</t>
        </is>
      </c>
      <c r="E14" s="13" t="n">
        <v>42</v>
      </c>
      <c r="F14" s="13" t="n">
        <v>43</v>
      </c>
      <c r="G14" s="14" t="inlineStr">
        <is>
          <t>Yes</t>
        </is>
      </c>
      <c r="H14" s="14" t="inlineStr">
        <is>
          <t>NOT ASSESSED</t>
        </is>
      </c>
      <c r="I14" s="13" t="n">
        <v>1</v>
      </c>
      <c r="J14" s="15">
        <f>IF(OR(H14="MET",H14="NOT APPLICABLE"),0,IF(H14="NOT MET",I14,0))</f>
        <v/>
      </c>
      <c r="K14" s="14" t="inlineStr">
        <is>
          <t>Not Started</t>
        </is>
      </c>
      <c r="L14" s="14" t="inlineStr"/>
      <c r="M14" s="14" t="inlineStr"/>
      <c r="N14" s="14" t="inlineStr"/>
      <c r="O14" s="15">
        <f>IF(H14="NOT MET","Yes","No")</f>
        <v/>
      </c>
    </row>
    <row r="15">
      <c r="A15" s="13" t="inlineStr">
        <is>
          <t>AC</t>
        </is>
      </c>
      <c r="B15" s="13" t="inlineStr">
        <is>
          <t>AC.L2-3.1.10</t>
        </is>
      </c>
      <c r="C15" s="13" t="inlineStr">
        <is>
          <t>Session Lock</t>
        </is>
      </c>
      <c r="D15" s="13" t="inlineStr">
        <is>
          <t>Use session lock with pattern- hiding displays to prevent access and viewing of data after a period of inactivity.</t>
        </is>
      </c>
      <c r="E15" s="13" t="n">
        <v>44</v>
      </c>
      <c r="F15" s="13" t="n">
        <v>45</v>
      </c>
      <c r="G15" s="14" t="inlineStr">
        <is>
          <t>Yes</t>
        </is>
      </c>
      <c r="H15" s="14" t="inlineStr">
        <is>
          <t>NOT ASSESSED</t>
        </is>
      </c>
      <c r="I15" s="13" t="n">
        <v>1</v>
      </c>
      <c r="J15" s="15">
        <f>IF(OR(H15="MET",H15="NOT APPLICABLE"),0,IF(H15="NOT MET",I15,0))</f>
        <v/>
      </c>
      <c r="K15" s="14" t="inlineStr">
        <is>
          <t>Not Started</t>
        </is>
      </c>
      <c r="L15" s="14" t="inlineStr"/>
      <c r="M15" s="14" t="inlineStr"/>
      <c r="N15" s="14" t="inlineStr"/>
      <c r="O15" s="15">
        <f>IF(H15="NOT MET","Yes","No")</f>
        <v/>
      </c>
    </row>
    <row r="16">
      <c r="A16" s="13" t="inlineStr">
        <is>
          <t>AC</t>
        </is>
      </c>
      <c r="B16" s="13" t="inlineStr">
        <is>
          <t>AC.L2-3.1.11</t>
        </is>
      </c>
      <c r="C16" s="13" t="inlineStr">
        <is>
          <t>Session Termination</t>
        </is>
      </c>
      <c r="D16" s="13" t="inlineStr">
        <is>
          <t>Terminate (automatically) a user session after a defined condition.</t>
        </is>
      </c>
      <c r="E16" s="13" t="n">
        <v>46</v>
      </c>
      <c r="F16" s="13" t="n">
        <v>47</v>
      </c>
      <c r="G16" s="14" t="inlineStr">
        <is>
          <t>Yes</t>
        </is>
      </c>
      <c r="H16" s="14" t="inlineStr">
        <is>
          <t>NOT ASSESSED</t>
        </is>
      </c>
      <c r="I16" s="13" t="n">
        <v>1</v>
      </c>
      <c r="J16" s="15">
        <f>IF(OR(H16="MET",H16="NOT APPLICABLE"),0,IF(H16="NOT MET",I16,0))</f>
        <v/>
      </c>
      <c r="K16" s="14" t="inlineStr">
        <is>
          <t>Not Started</t>
        </is>
      </c>
      <c r="L16" s="14" t="inlineStr"/>
      <c r="M16" s="14" t="inlineStr"/>
      <c r="N16" s="14" t="inlineStr"/>
      <c r="O16" s="15">
        <f>IF(H16="NOT MET","Yes","No")</f>
        <v/>
      </c>
    </row>
    <row r="17">
      <c r="A17" s="13" t="inlineStr">
        <is>
          <t>AC</t>
        </is>
      </c>
      <c r="B17" s="13" t="inlineStr">
        <is>
          <t>AC.L2-3.1.12</t>
        </is>
      </c>
      <c r="C17" s="13" t="inlineStr">
        <is>
          <t>Control Remote Access</t>
        </is>
      </c>
      <c r="D17" s="13" t="inlineStr">
        <is>
          <t>Monitor and control remote access sessions.</t>
        </is>
      </c>
      <c r="E17" s="13" t="n">
        <v>48</v>
      </c>
      <c r="F17" s="13" t="n">
        <v>50</v>
      </c>
      <c r="G17" s="14" t="inlineStr">
        <is>
          <t>Yes</t>
        </is>
      </c>
      <c r="H17" s="14" t="inlineStr">
        <is>
          <t>NOT ASSESSED</t>
        </is>
      </c>
      <c r="I17" s="13" t="n">
        <v>1</v>
      </c>
      <c r="J17" s="15">
        <f>IF(OR(H17="MET",H17="NOT APPLICABLE"),0,IF(H17="NOT MET",I17,0))</f>
        <v/>
      </c>
      <c r="K17" s="14" t="inlineStr">
        <is>
          <t>Not Started</t>
        </is>
      </c>
      <c r="L17" s="14" t="inlineStr"/>
      <c r="M17" s="14" t="inlineStr"/>
      <c r="N17" s="14" t="inlineStr"/>
      <c r="O17" s="15">
        <f>IF(H17="NOT MET","Yes","No")</f>
        <v/>
      </c>
    </row>
    <row r="18">
      <c r="A18" s="13" t="inlineStr">
        <is>
          <t>AC</t>
        </is>
      </c>
      <c r="B18" s="13" t="inlineStr">
        <is>
          <t>AC.L2-3.1.13</t>
        </is>
      </c>
      <c r="C18" s="13" t="inlineStr">
        <is>
          <t>Remote Access Confidentiality</t>
        </is>
      </c>
      <c r="D18" s="13" t="inlineStr">
        <is>
          <t>Employ cryptographic mechanisms to protect the confidentiality of remote access sessions.</t>
        </is>
      </c>
      <c r="E18" s="13" t="n">
        <v>51</v>
      </c>
      <c r="F18" s="13" t="n">
        <v>52</v>
      </c>
      <c r="G18" s="14" t="inlineStr">
        <is>
          <t>Yes</t>
        </is>
      </c>
      <c r="H18" s="14" t="inlineStr">
        <is>
          <t>NOT ASSESSED</t>
        </is>
      </c>
      <c r="I18" s="13" t="n">
        <v>1</v>
      </c>
      <c r="J18" s="15">
        <f>IF(OR(H18="MET",H18="NOT APPLICABLE"),0,IF(H18="NOT MET",I18,0))</f>
        <v/>
      </c>
      <c r="K18" s="14" t="inlineStr">
        <is>
          <t>Not Started</t>
        </is>
      </c>
      <c r="L18" s="14" t="inlineStr"/>
      <c r="M18" s="14" t="inlineStr"/>
      <c r="N18" s="14" t="inlineStr"/>
      <c r="O18" s="15">
        <f>IF(H18="NOT MET","Yes","No")</f>
        <v/>
      </c>
    </row>
    <row r="19">
      <c r="A19" s="13" t="inlineStr">
        <is>
          <t>AC</t>
        </is>
      </c>
      <c r="B19" s="13" t="inlineStr">
        <is>
          <t>AC.L2-3.1.14</t>
        </is>
      </c>
      <c r="C19" s="13" t="inlineStr">
        <is>
          <t>Remote Access Routing</t>
        </is>
      </c>
      <c r="D19" s="13" t="inlineStr">
        <is>
          <t>Route remote access via managed access control points.</t>
        </is>
      </c>
      <c r="E19" s="13" t="n">
        <v>53</v>
      </c>
      <c r="F19" s="13" t="n">
        <v>54</v>
      </c>
      <c r="G19" s="14" t="inlineStr">
        <is>
          <t>Yes</t>
        </is>
      </c>
      <c r="H19" s="14" t="inlineStr">
        <is>
          <t>NOT ASSESSED</t>
        </is>
      </c>
      <c r="I19" s="13" t="n">
        <v>1</v>
      </c>
      <c r="J19" s="15">
        <f>IF(OR(H19="MET",H19="NOT APPLICABLE"),0,IF(H19="NOT MET",I19,0))</f>
        <v/>
      </c>
      <c r="K19" s="14" t="inlineStr">
        <is>
          <t>Not Started</t>
        </is>
      </c>
      <c r="L19" s="14" t="inlineStr"/>
      <c r="M19" s="14" t="inlineStr"/>
      <c r="N19" s="14" t="inlineStr"/>
      <c r="O19" s="15">
        <f>IF(H19="NOT MET","Yes","No")</f>
        <v/>
      </c>
    </row>
    <row r="20">
      <c r="A20" s="13" t="inlineStr">
        <is>
          <t>AC</t>
        </is>
      </c>
      <c r="B20" s="13" t="inlineStr">
        <is>
          <t>AC.L2-3.1.15</t>
        </is>
      </c>
      <c r="C20" s="13" t="inlineStr">
        <is>
          <t>Privileged Remote Access</t>
        </is>
      </c>
      <c r="D20" s="13" t="inlineStr">
        <is>
          <t>Authorize remote execution of privileged commands and remote access to security-relevant information.</t>
        </is>
      </c>
      <c r="E20" s="13" t="n">
        <v>55</v>
      </c>
      <c r="F20" s="13" t="n">
        <v>57</v>
      </c>
      <c r="G20" s="14" t="inlineStr">
        <is>
          <t>Yes</t>
        </is>
      </c>
      <c r="H20" s="14" t="inlineStr">
        <is>
          <t>NOT ASSESSED</t>
        </is>
      </c>
      <c r="I20" s="13" t="n">
        <v>1</v>
      </c>
      <c r="J20" s="15">
        <f>IF(OR(H20="MET",H20="NOT APPLICABLE"),0,IF(H20="NOT MET",I20,0))</f>
        <v/>
      </c>
      <c r="K20" s="14" t="inlineStr">
        <is>
          <t>Not Started</t>
        </is>
      </c>
      <c r="L20" s="14" t="inlineStr"/>
      <c r="M20" s="14" t="inlineStr"/>
      <c r="N20" s="14" t="inlineStr"/>
      <c r="O20" s="15">
        <f>IF(H20="NOT MET","Yes","No")</f>
        <v/>
      </c>
    </row>
    <row r="21">
      <c r="A21" s="13" t="inlineStr">
        <is>
          <t>AC</t>
        </is>
      </c>
      <c r="B21" s="13" t="inlineStr">
        <is>
          <t>AC.L2-3.1.16</t>
        </is>
      </c>
      <c r="C21" s="13" t="inlineStr">
        <is>
          <t>Wireless Access Authorization</t>
        </is>
      </c>
      <c r="D21" s="13" t="inlineStr">
        <is>
          <t>Authorize wireless access prior to allowing such connections.</t>
        </is>
      </c>
      <c r="E21" s="13" t="n">
        <v>58</v>
      </c>
      <c r="F21" s="13" t="n">
        <v>59</v>
      </c>
      <c r="G21" s="14" t="inlineStr">
        <is>
          <t>Yes</t>
        </is>
      </c>
      <c r="H21" s="14" t="inlineStr">
        <is>
          <t>NOT ASSESSED</t>
        </is>
      </c>
      <c r="I21" s="13" t="n">
        <v>1</v>
      </c>
      <c r="J21" s="15">
        <f>IF(OR(H21="MET",H21="NOT APPLICABLE"),0,IF(H21="NOT MET",I21,0))</f>
        <v/>
      </c>
      <c r="K21" s="14" t="inlineStr">
        <is>
          <t>Not Started</t>
        </is>
      </c>
      <c r="L21" s="14" t="inlineStr"/>
      <c r="M21" s="14" t="inlineStr"/>
      <c r="N21" s="14" t="inlineStr"/>
      <c r="O21" s="15">
        <f>IF(H21="NOT MET","Yes","No")</f>
        <v/>
      </c>
    </row>
    <row r="22">
      <c r="A22" s="13" t="inlineStr">
        <is>
          <t>AC</t>
        </is>
      </c>
      <c r="B22" s="13" t="inlineStr">
        <is>
          <t>AC.L2-3.1.17</t>
        </is>
      </c>
      <c r="C22" s="13" t="inlineStr">
        <is>
          <t>Wireless Access Protection</t>
        </is>
      </c>
      <c r="D22" s="13" t="inlineStr">
        <is>
          <t>Protect wireless access using authentication and encryption.</t>
        </is>
      </c>
      <c r="E22" s="13" t="n">
        <v>60</v>
      </c>
      <c r="F22" s="13" t="n">
        <v>61</v>
      </c>
      <c r="G22" s="14" t="inlineStr">
        <is>
          <t>Yes</t>
        </is>
      </c>
      <c r="H22" s="14" t="inlineStr">
        <is>
          <t>NOT ASSESSED</t>
        </is>
      </c>
      <c r="I22" s="13" t="n">
        <v>1</v>
      </c>
      <c r="J22" s="15">
        <f>IF(OR(H22="MET",H22="NOT APPLICABLE"),0,IF(H22="NOT MET",I22,0))</f>
        <v/>
      </c>
      <c r="K22" s="14" t="inlineStr">
        <is>
          <t>Not Started</t>
        </is>
      </c>
      <c r="L22" s="14" t="inlineStr"/>
      <c r="M22" s="14" t="inlineStr"/>
      <c r="N22" s="14" t="inlineStr"/>
      <c r="O22" s="15">
        <f>IF(H22="NOT MET","Yes","No")</f>
        <v/>
      </c>
    </row>
    <row r="23">
      <c r="A23" s="13" t="inlineStr">
        <is>
          <t>AC</t>
        </is>
      </c>
      <c r="B23" s="13" t="inlineStr">
        <is>
          <t>AC.L2-3.1.18</t>
        </is>
      </c>
      <c r="C23" s="13" t="inlineStr">
        <is>
          <t>Mobile Device Connection</t>
        </is>
      </c>
      <c r="D23" s="13" t="inlineStr">
        <is>
          <t>Control connection of mobile devices.</t>
        </is>
      </c>
      <c r="E23" s="13" t="n">
        <v>62</v>
      </c>
      <c r="F23" s="13" t="n">
        <v>63</v>
      </c>
      <c r="G23" s="14" t="inlineStr">
        <is>
          <t>Yes</t>
        </is>
      </c>
      <c r="H23" s="14" t="inlineStr">
        <is>
          <t>NOT ASSESSED</t>
        </is>
      </c>
      <c r="I23" s="13" t="n">
        <v>1</v>
      </c>
      <c r="J23" s="15">
        <f>IF(OR(H23="MET",H23="NOT APPLICABLE"),0,IF(H23="NOT MET",I23,0))</f>
        <v/>
      </c>
      <c r="K23" s="14" t="inlineStr">
        <is>
          <t>Not Started</t>
        </is>
      </c>
      <c r="L23" s="14" t="inlineStr"/>
      <c r="M23" s="14" t="inlineStr"/>
      <c r="N23" s="14" t="inlineStr"/>
      <c r="O23" s="15">
        <f>IF(H23="NOT MET","Yes","No")</f>
        <v/>
      </c>
    </row>
    <row r="24">
      <c r="A24" s="13" t="inlineStr">
        <is>
          <t>AC</t>
        </is>
      </c>
      <c r="B24" s="13" t="inlineStr">
        <is>
          <t>AC.L2-3.1.19</t>
        </is>
      </c>
      <c r="C24" s="13" t="inlineStr">
        <is>
          <t>Encrypt CUI on Mobile</t>
        </is>
      </c>
      <c r="D24" s="13" t="inlineStr">
        <is>
          <t>Encrypt CUI on mobile devices and mobile computing platforms.</t>
        </is>
      </c>
      <c r="E24" s="13" t="n">
        <v>64</v>
      </c>
      <c r="F24" s="13" t="n">
        <v>65</v>
      </c>
      <c r="G24" s="14" t="inlineStr">
        <is>
          <t>Yes</t>
        </is>
      </c>
      <c r="H24" s="14" t="inlineStr">
        <is>
          <t>NOT ASSESSED</t>
        </is>
      </c>
      <c r="I24" s="13" t="n">
        <v>1</v>
      </c>
      <c r="J24" s="15">
        <f>IF(OR(H24="MET",H24="NOT APPLICABLE"),0,IF(H24="NOT MET",I24,0))</f>
        <v/>
      </c>
      <c r="K24" s="14" t="inlineStr">
        <is>
          <t>Not Started</t>
        </is>
      </c>
      <c r="L24" s="14" t="inlineStr"/>
      <c r="M24" s="14" t="inlineStr"/>
      <c r="N24" s="14" t="inlineStr"/>
      <c r="O24" s="15">
        <f>IF(H24="NOT MET","Yes","No")</f>
        <v/>
      </c>
    </row>
    <row r="25">
      <c r="A25" s="13" t="inlineStr">
        <is>
          <t>AC</t>
        </is>
      </c>
      <c r="B25" s="13" t="inlineStr">
        <is>
          <t>AC.L2-3.1.20</t>
        </is>
      </c>
      <c r="C25" s="13" t="inlineStr">
        <is>
          <t>External Connections [CUI Data]</t>
        </is>
      </c>
      <c r="D25" s="13" t="inlineStr">
        <is>
          <t>Verify and control/limit connections to and use of external systems.</t>
        </is>
      </c>
      <c r="E25" s="13" t="n">
        <v>66</v>
      </c>
      <c r="F25" s="13" t="n">
        <v>68</v>
      </c>
      <c r="G25" s="14" t="inlineStr">
        <is>
          <t>Yes</t>
        </is>
      </c>
      <c r="H25" s="14" t="inlineStr">
        <is>
          <t>NOT ASSESSED</t>
        </is>
      </c>
      <c r="I25" s="13" t="n">
        <v>1</v>
      </c>
      <c r="J25" s="15">
        <f>IF(OR(H25="MET",H25="NOT APPLICABLE"),0,IF(H25="NOT MET",I25,0))</f>
        <v/>
      </c>
      <c r="K25" s="14" t="inlineStr">
        <is>
          <t>Not Started</t>
        </is>
      </c>
      <c r="L25" s="14" t="inlineStr"/>
      <c r="M25" s="14" t="inlineStr"/>
      <c r="N25" s="14" t="inlineStr"/>
      <c r="O25" s="15">
        <f>IF(H25="NOT MET","Yes","No")</f>
        <v/>
      </c>
    </row>
    <row r="26">
      <c r="A26" s="13" t="inlineStr">
        <is>
          <t>AC</t>
        </is>
      </c>
      <c r="B26" s="13" t="inlineStr">
        <is>
          <t>AC.L2-3.1.21</t>
        </is>
      </c>
      <c r="C26" s="13" t="inlineStr">
        <is>
          <t>Portable Storage Use</t>
        </is>
      </c>
      <c r="D26" s="13" t="inlineStr">
        <is>
          <t>Limit use of portable storage devices on external systems.</t>
        </is>
      </c>
      <c r="E26" s="13" t="n">
        <v>69</v>
      </c>
      <c r="F26" s="13" t="n">
        <v>70</v>
      </c>
      <c r="G26" s="14" t="inlineStr">
        <is>
          <t>Yes</t>
        </is>
      </c>
      <c r="H26" s="14" t="inlineStr">
        <is>
          <t>NOT ASSESSED</t>
        </is>
      </c>
      <c r="I26" s="13" t="n">
        <v>1</v>
      </c>
      <c r="J26" s="15">
        <f>IF(OR(H26="MET",H26="NOT APPLICABLE"),0,IF(H26="NOT MET",I26,0))</f>
        <v/>
      </c>
      <c r="K26" s="14" t="inlineStr">
        <is>
          <t>Not Started</t>
        </is>
      </c>
      <c r="L26" s="14" t="inlineStr"/>
      <c r="M26" s="14" t="inlineStr"/>
      <c r="N26" s="14" t="inlineStr"/>
      <c r="O26" s="15">
        <f>IF(H26="NOT MET","Yes","No")</f>
        <v/>
      </c>
    </row>
    <row r="27">
      <c r="A27" s="13" t="inlineStr">
        <is>
          <t>AC</t>
        </is>
      </c>
      <c r="B27" s="13" t="inlineStr">
        <is>
          <t>AC.L2-3.1.22</t>
        </is>
      </c>
      <c r="C27" s="13" t="inlineStr">
        <is>
          <t>Control Public Information [CUI Data]</t>
        </is>
      </c>
      <c r="D27" s="13" t="inlineStr">
        <is>
          <t>Control CUI posted or processed on publicly accessible systems.</t>
        </is>
      </c>
      <c r="E27" s="13" t="n">
        <v>71</v>
      </c>
      <c r="F27" s="13" t="n">
        <v>72</v>
      </c>
      <c r="G27" s="14" t="inlineStr">
        <is>
          <t>Yes</t>
        </is>
      </c>
      <c r="H27" s="14" t="inlineStr">
        <is>
          <t>NOT ASSESSED</t>
        </is>
      </c>
      <c r="I27" s="13" t="n">
        <v>1</v>
      </c>
      <c r="J27" s="15">
        <f>IF(OR(H27="MET",H27="NOT APPLICABLE"),0,IF(H27="NOT MET",I27,0))</f>
        <v/>
      </c>
      <c r="K27" s="14" t="inlineStr">
        <is>
          <t>Not Started</t>
        </is>
      </c>
      <c r="L27" s="14" t="inlineStr"/>
      <c r="M27" s="14" t="inlineStr"/>
      <c r="N27" s="14" t="inlineStr"/>
      <c r="O27" s="15">
        <f>IF(H27="NOT MET","Yes","No")</f>
        <v/>
      </c>
    </row>
    <row r="28">
      <c r="A28" s="13" t="inlineStr">
        <is>
          <t>AT</t>
        </is>
      </c>
      <c r="B28" s="13" t="inlineStr">
        <is>
          <t>AT.L2-3.2.1</t>
        </is>
      </c>
      <c r="C28" s="13" t="inlineStr">
        <is>
          <t>Role-Based Risk Awareness</t>
        </is>
      </c>
      <c r="D28" s="13" t="inlineStr">
        <is>
          <t>Ensure that managers, system s administrators, and users of organizational systems are made aware of the security risks associated with their activities and of the applicable policies, standards, and procedures related to the security of those systems.</t>
        </is>
      </c>
      <c r="E28" s="13" t="n">
        <v>73</v>
      </c>
      <c r="F28" s="13" t="n">
        <v>75</v>
      </c>
      <c r="G28" s="14" t="inlineStr">
        <is>
          <t>Yes</t>
        </is>
      </c>
      <c r="H28" s="14" t="inlineStr">
        <is>
          <t>NOT ASSESSED</t>
        </is>
      </c>
      <c r="I28" s="13" t="n">
        <v>1</v>
      </c>
      <c r="J28" s="15">
        <f>IF(OR(H28="MET",H28="NOT APPLICABLE"),0,IF(H28="NOT MET",I28,0))</f>
        <v/>
      </c>
      <c r="K28" s="14" t="inlineStr">
        <is>
          <t>Not Started</t>
        </is>
      </c>
      <c r="L28" s="14" t="inlineStr"/>
      <c r="M28" s="14" t="inlineStr"/>
      <c r="N28" s="14" t="inlineStr"/>
      <c r="O28" s="15">
        <f>IF(H28="NOT MET","Yes","No")</f>
        <v/>
      </c>
    </row>
    <row r="29">
      <c r="A29" s="13" t="inlineStr">
        <is>
          <t>AT</t>
        </is>
      </c>
      <c r="B29" s="13" t="inlineStr">
        <is>
          <t>AT.L2-3.2.2</t>
        </is>
      </c>
      <c r="C29" s="13" t="inlineStr">
        <is>
          <t>Role-Based Training</t>
        </is>
      </c>
      <c r="D29" s="13" t="inlineStr">
        <is>
          <t>Ensure that personnel are trained to carry out their assigned information security -related duties and responsibilities.</t>
        </is>
      </c>
      <c r="E29" s="13" t="n">
        <v>76</v>
      </c>
      <c r="F29" s="13" t="n">
        <v>77</v>
      </c>
      <c r="G29" s="14" t="inlineStr">
        <is>
          <t>Yes</t>
        </is>
      </c>
      <c r="H29" s="14" t="inlineStr">
        <is>
          <t>NOT ASSESSED</t>
        </is>
      </c>
      <c r="I29" s="13" t="n">
        <v>1</v>
      </c>
      <c r="J29" s="15">
        <f>IF(OR(H29="MET",H29="NOT APPLICABLE"),0,IF(H29="NOT MET",I29,0))</f>
        <v/>
      </c>
      <c r="K29" s="14" t="inlineStr">
        <is>
          <t>Not Started</t>
        </is>
      </c>
      <c r="L29" s="14" t="inlineStr"/>
      <c r="M29" s="14" t="inlineStr"/>
      <c r="N29" s="14" t="inlineStr"/>
      <c r="O29" s="15">
        <f>IF(H29="NOT MET","Yes","No")</f>
        <v/>
      </c>
    </row>
    <row r="30">
      <c r="A30" s="13" t="inlineStr">
        <is>
          <t>AT</t>
        </is>
      </c>
      <c r="B30" s="13" t="inlineStr">
        <is>
          <t>AT.L2-3.2.3</t>
        </is>
      </c>
      <c r="C30" s="13" t="inlineStr">
        <is>
          <t>Insider Threat Awareness</t>
        </is>
      </c>
      <c r="D30" s="13" t="inlineStr">
        <is>
          <t>Provide security awareness training on recognizing and reporting potential indicators of insider threat.</t>
        </is>
      </c>
      <c r="E30" s="13" t="n">
        <v>78</v>
      </c>
      <c r="F30" s="13" t="n">
        <v>79</v>
      </c>
      <c r="G30" s="14" t="inlineStr">
        <is>
          <t>Yes</t>
        </is>
      </c>
      <c r="H30" s="14" t="inlineStr">
        <is>
          <t>NOT ASSESSED</t>
        </is>
      </c>
      <c r="I30" s="13" t="n">
        <v>1</v>
      </c>
      <c r="J30" s="15">
        <f>IF(OR(H30="MET",H30="NOT APPLICABLE"),0,IF(H30="NOT MET",I30,0))</f>
        <v/>
      </c>
      <c r="K30" s="14" t="inlineStr">
        <is>
          <t>Not Started</t>
        </is>
      </c>
      <c r="L30" s="14" t="inlineStr"/>
      <c r="M30" s="14" t="inlineStr"/>
      <c r="N30" s="14" t="inlineStr"/>
      <c r="O30" s="15">
        <f>IF(H30="NOT MET","Yes","No")</f>
        <v/>
      </c>
    </row>
    <row r="31">
      <c r="A31" s="13" t="inlineStr">
        <is>
          <t>AU</t>
        </is>
      </c>
      <c r="B31" s="13" t="inlineStr">
        <is>
          <t>AU.L2-3.3.1</t>
        </is>
      </c>
      <c r="C31" s="13" t="inlineStr">
        <is>
          <t>System Auditing</t>
        </is>
      </c>
      <c r="D31" s="13" t="inlineStr">
        <is>
          <t>Create and retain system audit logs and records to the extent needed to enable the monitoring, analysis, investigation, and reporting of unlawful or unauthorized system activity.</t>
        </is>
      </c>
      <c r="E31" s="13" t="n">
        <v>80</v>
      </c>
      <c r="F31" s="13" t="n">
        <v>82</v>
      </c>
      <c r="G31" s="14" t="inlineStr">
        <is>
          <t>Yes</t>
        </is>
      </c>
      <c r="H31" s="14" t="inlineStr">
        <is>
          <t>NOT ASSESSED</t>
        </is>
      </c>
      <c r="I31" s="13" t="n">
        <v>1</v>
      </c>
      <c r="J31" s="15">
        <f>IF(OR(H31="MET",H31="NOT APPLICABLE"),0,IF(H31="NOT MET",I31,0))</f>
        <v/>
      </c>
      <c r="K31" s="14" t="inlineStr">
        <is>
          <t>Not Started</t>
        </is>
      </c>
      <c r="L31" s="14" t="inlineStr"/>
      <c r="M31" s="14" t="inlineStr"/>
      <c r="N31" s="14" t="inlineStr"/>
      <c r="O31" s="15">
        <f>IF(H31="NOT MET","Yes","No")</f>
        <v/>
      </c>
    </row>
    <row r="32">
      <c r="A32" s="13" t="inlineStr">
        <is>
          <t>AU</t>
        </is>
      </c>
      <c r="B32" s="13" t="inlineStr">
        <is>
          <t>AU.L2-3.3.2</t>
        </is>
      </c>
      <c r="C32" s="13" t="inlineStr">
        <is>
          <t>User Accountability</t>
        </is>
      </c>
      <c r="D32" s="13" t="inlineStr">
        <is>
          <t>Ensure that the actions of individual system users can be uniquely traced to those users so they can be held accountable for their actions.</t>
        </is>
      </c>
      <c r="E32" s="13" t="n">
        <v>83</v>
      </c>
      <c r="F32" s="13" t="n">
        <v>84</v>
      </c>
      <c r="G32" s="14" t="inlineStr">
        <is>
          <t>Yes</t>
        </is>
      </c>
      <c r="H32" s="14" t="inlineStr">
        <is>
          <t>NOT ASSESSED</t>
        </is>
      </c>
      <c r="I32" s="13" t="n">
        <v>1</v>
      </c>
      <c r="J32" s="15">
        <f>IF(OR(H32="MET",H32="NOT APPLICABLE"),0,IF(H32="NOT MET",I32,0))</f>
        <v/>
      </c>
      <c r="K32" s="14" t="inlineStr">
        <is>
          <t>Not Started</t>
        </is>
      </c>
      <c r="L32" s="14" t="inlineStr"/>
      <c r="M32" s="14" t="inlineStr"/>
      <c r="N32" s="14" t="inlineStr"/>
      <c r="O32" s="15">
        <f>IF(H32="NOT MET","Yes","No")</f>
        <v/>
      </c>
    </row>
    <row r="33">
      <c r="A33" s="13" t="inlineStr">
        <is>
          <t>AU</t>
        </is>
      </c>
      <c r="B33" s="13" t="inlineStr">
        <is>
          <t>AU.L2-3.3.3</t>
        </is>
      </c>
      <c r="C33" s="13" t="inlineStr">
        <is>
          <t>Event Review</t>
        </is>
      </c>
      <c r="D33" s="13" t="inlineStr">
        <is>
          <t>Review and update logged events.</t>
        </is>
      </c>
      <c r="E33" s="13" t="n">
        <v>85</v>
      </c>
      <c r="F33" s="13" t="n">
        <v>86</v>
      </c>
      <c r="G33" s="14" t="inlineStr">
        <is>
          <t>Yes</t>
        </is>
      </c>
      <c r="H33" s="14" t="inlineStr">
        <is>
          <t>NOT ASSESSED</t>
        </is>
      </c>
      <c r="I33" s="13" t="n">
        <v>1</v>
      </c>
      <c r="J33" s="15">
        <f>IF(OR(H33="MET",H33="NOT APPLICABLE"),0,IF(H33="NOT MET",I33,0))</f>
        <v/>
      </c>
      <c r="K33" s="14" t="inlineStr">
        <is>
          <t>Not Started</t>
        </is>
      </c>
      <c r="L33" s="14" t="inlineStr"/>
      <c r="M33" s="14" t="inlineStr"/>
      <c r="N33" s="14" t="inlineStr"/>
      <c r="O33" s="15">
        <f>IF(H33="NOT MET","Yes","No")</f>
        <v/>
      </c>
    </row>
    <row r="34">
      <c r="A34" s="13" t="inlineStr">
        <is>
          <t>AU</t>
        </is>
      </c>
      <c r="B34" s="13" t="inlineStr">
        <is>
          <t>AU.L2-3.3.4</t>
        </is>
      </c>
      <c r="C34" s="13" t="inlineStr">
        <is>
          <t>Audit Failure Alerting</t>
        </is>
      </c>
      <c r="D34" s="13" t="inlineStr">
        <is>
          <t>Alert in the event of an audit logging process failure.</t>
        </is>
      </c>
      <c r="E34" s="13" t="n">
        <v>87</v>
      </c>
      <c r="F34" s="13" t="n">
        <v>88</v>
      </c>
      <c r="G34" s="14" t="inlineStr">
        <is>
          <t>Yes</t>
        </is>
      </c>
      <c r="H34" s="14" t="inlineStr">
        <is>
          <t>NOT ASSESSED</t>
        </is>
      </c>
      <c r="I34" s="13" t="n">
        <v>1</v>
      </c>
      <c r="J34" s="15">
        <f>IF(OR(H34="MET",H34="NOT APPLICABLE"),0,IF(H34="NOT MET",I34,0))</f>
        <v/>
      </c>
      <c r="K34" s="14" t="inlineStr">
        <is>
          <t>Not Started</t>
        </is>
      </c>
      <c r="L34" s="14" t="inlineStr"/>
      <c r="M34" s="14" t="inlineStr"/>
      <c r="N34" s="14" t="inlineStr"/>
      <c r="O34" s="15">
        <f>IF(H34="NOT MET","Yes","No")</f>
        <v/>
      </c>
    </row>
    <row r="35">
      <c r="A35" s="13" t="inlineStr">
        <is>
          <t>AU</t>
        </is>
      </c>
      <c r="B35" s="13" t="inlineStr">
        <is>
          <t>AU.L2-3.3.5</t>
        </is>
      </c>
      <c r="C35" s="13" t="inlineStr">
        <is>
          <t>Audit Correlation</t>
        </is>
      </c>
      <c r="D35" s="13" t="inlineStr">
        <is>
          <t>Correlate audit record review, analysis, and reporting processes for investigation and response to indications of unlawful, unauthorized, suspicious, or unusual activity.</t>
        </is>
      </c>
      <c r="E35" s="13" t="n">
        <v>89</v>
      </c>
      <c r="F35" s="13" t="n">
        <v>90</v>
      </c>
      <c r="G35" s="14" t="inlineStr">
        <is>
          <t>Yes</t>
        </is>
      </c>
      <c r="H35" s="14" t="inlineStr">
        <is>
          <t>NOT ASSESSED</t>
        </is>
      </c>
      <c r="I35" s="13" t="n">
        <v>1</v>
      </c>
      <c r="J35" s="15">
        <f>IF(OR(H35="MET",H35="NOT APPLICABLE"),0,IF(H35="NOT MET",I35,0))</f>
        <v/>
      </c>
      <c r="K35" s="14" t="inlineStr">
        <is>
          <t>Not Started</t>
        </is>
      </c>
      <c r="L35" s="14" t="inlineStr"/>
      <c r="M35" s="14" t="inlineStr"/>
      <c r="N35" s="14" t="inlineStr"/>
      <c r="O35" s="15">
        <f>IF(H35="NOT MET","Yes","No")</f>
        <v/>
      </c>
    </row>
    <row r="36">
      <c r="A36" s="13" t="inlineStr">
        <is>
          <t>AU</t>
        </is>
      </c>
      <c r="B36" s="13" t="inlineStr">
        <is>
          <t>AU.L2-3.3.6</t>
        </is>
      </c>
      <c r="C36" s="13" t="inlineStr">
        <is>
          <t>Reduction &amp; Reporting</t>
        </is>
      </c>
      <c r="D36" s="13" t="inlineStr">
        <is>
          <t>Provide audit record reduction and report generation to support on- demand analysis and reporting.</t>
        </is>
      </c>
      <c r="E36" s="13" t="n">
        <v>91</v>
      </c>
      <c r="F36" s="13" t="n">
        <v>92</v>
      </c>
      <c r="G36" s="14" t="inlineStr">
        <is>
          <t>Yes</t>
        </is>
      </c>
      <c r="H36" s="14" t="inlineStr">
        <is>
          <t>NOT ASSESSED</t>
        </is>
      </c>
      <c r="I36" s="13" t="n">
        <v>1</v>
      </c>
      <c r="J36" s="15">
        <f>IF(OR(H36="MET",H36="NOT APPLICABLE"),0,IF(H36="NOT MET",I36,0))</f>
        <v/>
      </c>
      <c r="K36" s="14" t="inlineStr">
        <is>
          <t>Not Started</t>
        </is>
      </c>
      <c r="L36" s="14" t="inlineStr"/>
      <c r="M36" s="14" t="inlineStr"/>
      <c r="N36" s="14" t="inlineStr"/>
      <c r="O36" s="15">
        <f>IF(H36="NOT MET","Yes","No")</f>
        <v/>
      </c>
    </row>
    <row r="37">
      <c r="A37" s="13" t="inlineStr">
        <is>
          <t>AU</t>
        </is>
      </c>
      <c r="B37" s="13" t="inlineStr">
        <is>
          <t>AU.L2-3.3.7</t>
        </is>
      </c>
      <c r="C37" s="13" t="inlineStr">
        <is>
          <t>Authoritative Time Source</t>
        </is>
      </c>
      <c r="D37" s="13" t="inlineStr">
        <is>
          <t>Provide a system capability that compares and synchronizes internal system clocks with an authoritative source to generate time stamps for audit records.</t>
        </is>
      </c>
      <c r="E37" s="13" t="n">
        <v>93</v>
      </c>
      <c r="F37" s="13" t="n">
        <v>94</v>
      </c>
      <c r="G37" s="14" t="inlineStr">
        <is>
          <t>Yes</t>
        </is>
      </c>
      <c r="H37" s="14" t="inlineStr">
        <is>
          <t>NOT ASSESSED</t>
        </is>
      </c>
      <c r="I37" s="13" t="n">
        <v>1</v>
      </c>
      <c r="J37" s="15">
        <f>IF(OR(H37="MET",H37="NOT APPLICABLE"),0,IF(H37="NOT MET",I37,0))</f>
        <v/>
      </c>
      <c r="K37" s="14" t="inlineStr">
        <is>
          <t>Not Started</t>
        </is>
      </c>
      <c r="L37" s="14" t="inlineStr"/>
      <c r="M37" s="14" t="inlineStr"/>
      <c r="N37" s="14" t="inlineStr"/>
      <c r="O37" s="15">
        <f>IF(H37="NOT MET","Yes","No")</f>
        <v/>
      </c>
    </row>
    <row r="38">
      <c r="A38" s="13" t="inlineStr">
        <is>
          <t>AU</t>
        </is>
      </c>
      <c r="B38" s="13" t="inlineStr">
        <is>
          <t>AU.L2-3.3.8</t>
        </is>
      </c>
      <c r="C38" s="13" t="inlineStr">
        <is>
          <t>Audit Protection</t>
        </is>
      </c>
      <c r="D38" s="13" t="inlineStr">
        <is>
          <t>Protect audit information and audit logging tools from unauthorized access, modification, and deletion.</t>
        </is>
      </c>
      <c r="E38" s="13" t="n">
        <v>95</v>
      </c>
      <c r="F38" s="13" t="n">
        <v>96</v>
      </c>
      <c r="G38" s="14" t="inlineStr">
        <is>
          <t>Yes</t>
        </is>
      </c>
      <c r="H38" s="14" t="inlineStr">
        <is>
          <t>NOT ASSESSED</t>
        </is>
      </c>
      <c r="I38" s="13" t="n">
        <v>1</v>
      </c>
      <c r="J38" s="15">
        <f>IF(OR(H38="MET",H38="NOT APPLICABLE"),0,IF(H38="NOT MET",I38,0))</f>
        <v/>
      </c>
      <c r="K38" s="14" t="inlineStr">
        <is>
          <t>Not Started</t>
        </is>
      </c>
      <c r="L38" s="14" t="inlineStr"/>
      <c r="M38" s="14" t="inlineStr"/>
      <c r="N38" s="14" t="inlineStr"/>
      <c r="O38" s="15">
        <f>IF(H38="NOT MET","Yes","No")</f>
        <v/>
      </c>
    </row>
    <row r="39">
      <c r="A39" s="13" t="inlineStr">
        <is>
          <t>AU</t>
        </is>
      </c>
      <c r="B39" s="13" t="inlineStr">
        <is>
          <t>AU.L2-3.3.9</t>
        </is>
      </c>
      <c r="C39" s="13" t="inlineStr">
        <is>
          <t>Audit Management</t>
        </is>
      </c>
      <c r="D39" s="13" t="inlineStr">
        <is>
          <t>Limit management of audit logging functionality to a subset of privileged users.</t>
        </is>
      </c>
      <c r="E39" s="13" t="n">
        <v>97</v>
      </c>
      <c r="F39" s="13" t="n">
        <v>98</v>
      </c>
      <c r="G39" s="14" t="inlineStr">
        <is>
          <t>Yes</t>
        </is>
      </c>
      <c r="H39" s="14" t="inlineStr">
        <is>
          <t>NOT ASSESSED</t>
        </is>
      </c>
      <c r="I39" s="13" t="n">
        <v>1</v>
      </c>
      <c r="J39" s="15">
        <f>IF(OR(H39="MET",H39="NOT APPLICABLE"),0,IF(H39="NOT MET",I39,0))</f>
        <v/>
      </c>
      <c r="K39" s="14" t="inlineStr">
        <is>
          <t>Not Started</t>
        </is>
      </c>
      <c r="L39" s="14" t="inlineStr"/>
      <c r="M39" s="14" t="inlineStr"/>
      <c r="N39" s="14" t="inlineStr"/>
      <c r="O39" s="15">
        <f>IF(H39="NOT MET","Yes","No")</f>
        <v/>
      </c>
    </row>
    <row r="40">
      <c r="A40" s="13" t="inlineStr">
        <is>
          <t>CM</t>
        </is>
      </c>
      <c r="B40" s="13" t="inlineStr">
        <is>
          <t>CM.L2-3.4.1</t>
        </is>
      </c>
      <c r="C40" s="13" t="inlineStr">
        <is>
          <t>System Baselining</t>
        </is>
      </c>
      <c r="D40" s="13" t="inlineStr">
        <is>
          <t>Establish and maintain baseline configurations and inventories of organizational systems (including hardware, software, firmware, and documentation) throughout the respective system development life cycles.</t>
        </is>
      </c>
      <c r="E40" s="13" t="n">
        <v>99</v>
      </c>
      <c r="F40" s="13" t="n">
        <v>101</v>
      </c>
      <c r="G40" s="14" t="inlineStr">
        <is>
          <t>Yes</t>
        </is>
      </c>
      <c r="H40" s="14" t="inlineStr">
        <is>
          <t>NOT ASSESSED</t>
        </is>
      </c>
      <c r="I40" s="13" t="n">
        <v>1</v>
      </c>
      <c r="J40" s="15">
        <f>IF(OR(H40="MET",H40="NOT APPLICABLE"),0,IF(H40="NOT MET",I40,0))</f>
        <v/>
      </c>
      <c r="K40" s="14" t="inlineStr">
        <is>
          <t>Not Started</t>
        </is>
      </c>
      <c r="L40" s="14" t="inlineStr"/>
      <c r="M40" s="14" t="inlineStr"/>
      <c r="N40" s="14" t="inlineStr"/>
      <c r="O40" s="15">
        <f>IF(H40="NOT MET","Yes","No")</f>
        <v/>
      </c>
    </row>
    <row r="41">
      <c r="A41" s="13" t="inlineStr">
        <is>
          <t>CM</t>
        </is>
      </c>
      <c r="B41" s="13" t="inlineStr">
        <is>
          <t>CM.L2-3.4.2</t>
        </is>
      </c>
      <c r="C41" s="13" t="inlineStr">
        <is>
          <t>Security Configuration Enforcement</t>
        </is>
      </c>
      <c r="D41" s="13" t="inlineStr">
        <is>
          <t>Establish and enforce security configuration settings for information technology products employed in organizational systems.</t>
        </is>
      </c>
      <c r="E41" s="13" t="n">
        <v>102</v>
      </c>
      <c r="F41" s="13" t="n">
        <v>103</v>
      </c>
      <c r="G41" s="14" t="inlineStr">
        <is>
          <t>Yes</t>
        </is>
      </c>
      <c r="H41" s="14" t="inlineStr">
        <is>
          <t>NOT ASSESSED</t>
        </is>
      </c>
      <c r="I41" s="13" t="n">
        <v>1</v>
      </c>
      <c r="J41" s="15">
        <f>IF(OR(H41="MET",H41="NOT APPLICABLE"),0,IF(H41="NOT MET",I41,0))</f>
        <v/>
      </c>
      <c r="K41" s="14" t="inlineStr">
        <is>
          <t>Not Started</t>
        </is>
      </c>
      <c r="L41" s="14" t="inlineStr"/>
      <c r="M41" s="14" t="inlineStr"/>
      <c r="N41" s="14" t="inlineStr"/>
      <c r="O41" s="15">
        <f>IF(H41="NOT MET","Yes","No")</f>
        <v/>
      </c>
    </row>
    <row r="42">
      <c r="A42" s="13" t="inlineStr">
        <is>
          <t>CM</t>
        </is>
      </c>
      <c r="B42" s="13" t="inlineStr">
        <is>
          <t>CM.L2-3.4.3</t>
        </is>
      </c>
      <c r="C42" s="13" t="inlineStr">
        <is>
          <t>System Change Management</t>
        </is>
      </c>
      <c r="D42" s="13" t="inlineStr">
        <is>
          <t>Track, review, approve or disapprove, and log changes to organizational systems.</t>
        </is>
      </c>
      <c r="E42" s="13" t="n">
        <v>104</v>
      </c>
      <c r="F42" s="13" t="n">
        <v>105</v>
      </c>
      <c r="G42" s="14" t="inlineStr">
        <is>
          <t>Yes</t>
        </is>
      </c>
      <c r="H42" s="14" t="inlineStr">
        <is>
          <t>NOT ASSESSED</t>
        </is>
      </c>
      <c r="I42" s="13" t="n">
        <v>1</v>
      </c>
      <c r="J42" s="15">
        <f>IF(OR(H42="MET",H42="NOT APPLICABLE"),0,IF(H42="NOT MET",I42,0))</f>
        <v/>
      </c>
      <c r="K42" s="14" t="inlineStr">
        <is>
          <t>Not Started</t>
        </is>
      </c>
      <c r="L42" s="14" t="inlineStr"/>
      <c r="M42" s="14" t="inlineStr"/>
      <c r="N42" s="14" t="inlineStr"/>
      <c r="O42" s="15">
        <f>IF(H42="NOT MET","Yes","No")</f>
        <v/>
      </c>
    </row>
    <row r="43">
      <c r="A43" s="13" t="inlineStr">
        <is>
          <t>CM</t>
        </is>
      </c>
      <c r="B43" s="13" t="inlineStr">
        <is>
          <t>CM.L2-3.4.4</t>
        </is>
      </c>
      <c r="C43" s="13" t="inlineStr">
        <is>
          <t>Security Impact Analysis</t>
        </is>
      </c>
      <c r="D43" s="13" t="inlineStr">
        <is>
          <t>Analyze the security impact of changes prior to implementation.</t>
        </is>
      </c>
      <c r="E43" s="13" t="n">
        <v>106</v>
      </c>
      <c r="F43" s="13" t="n">
        <v>107</v>
      </c>
      <c r="G43" s="14" t="inlineStr">
        <is>
          <t>Yes</t>
        </is>
      </c>
      <c r="H43" s="14" t="inlineStr">
        <is>
          <t>NOT ASSESSED</t>
        </is>
      </c>
      <c r="I43" s="13" t="n">
        <v>1</v>
      </c>
      <c r="J43" s="15">
        <f>IF(OR(H43="MET",H43="NOT APPLICABLE"),0,IF(H43="NOT MET",I43,0))</f>
        <v/>
      </c>
      <c r="K43" s="14" t="inlineStr">
        <is>
          <t>Not Started</t>
        </is>
      </c>
      <c r="L43" s="14" t="inlineStr"/>
      <c r="M43" s="14" t="inlineStr"/>
      <c r="N43" s="14" t="inlineStr"/>
      <c r="O43" s="15">
        <f>IF(H43="NOT MET","Yes","No")</f>
        <v/>
      </c>
    </row>
    <row r="44">
      <c r="A44" s="13" t="inlineStr">
        <is>
          <t>CM</t>
        </is>
      </c>
      <c r="B44" s="13" t="inlineStr">
        <is>
          <t>CM.L2-3.4.5</t>
        </is>
      </c>
      <c r="C44" s="13" t="inlineStr">
        <is>
          <t>Access Restrictions for Change</t>
        </is>
      </c>
      <c r="D44" s="13" t="inlineStr">
        <is>
          <t>Define, document, approve, and enforce physical and logical access restrictions associated with changes to organizational systems.</t>
        </is>
      </c>
      <c r="E44" s="13" t="n">
        <v>108</v>
      </c>
      <c r="F44" s="13" t="n">
        <v>110</v>
      </c>
      <c r="G44" s="14" t="inlineStr">
        <is>
          <t>Yes</t>
        </is>
      </c>
      <c r="H44" s="14" t="inlineStr">
        <is>
          <t>NOT ASSESSED</t>
        </is>
      </c>
      <c r="I44" s="13" t="n">
        <v>1</v>
      </c>
      <c r="J44" s="15">
        <f>IF(OR(H44="MET",H44="NOT APPLICABLE"),0,IF(H44="NOT MET",I44,0))</f>
        <v/>
      </c>
      <c r="K44" s="14" t="inlineStr">
        <is>
          <t>Not Started</t>
        </is>
      </c>
      <c r="L44" s="14" t="inlineStr"/>
      <c r="M44" s="14" t="inlineStr"/>
      <c r="N44" s="14" t="inlineStr"/>
      <c r="O44" s="15">
        <f>IF(H44="NOT MET","Yes","No")</f>
        <v/>
      </c>
    </row>
    <row r="45">
      <c r="A45" s="13" t="inlineStr">
        <is>
          <t>CM</t>
        </is>
      </c>
      <c r="B45" s="13" t="inlineStr">
        <is>
          <t>CM.L2-3.4.6</t>
        </is>
      </c>
      <c r="C45" s="13" t="inlineStr">
        <is>
          <t>Least Functionality</t>
        </is>
      </c>
      <c r="D45" s="13" t="inlineStr">
        <is>
          <t>Employ the principle of least functionality by configuring organizational systems to provide only essential capabilities.</t>
        </is>
      </c>
      <c r="E45" s="13" t="n">
        <v>111</v>
      </c>
      <c r="F45" s="13" t="n">
        <v>112</v>
      </c>
      <c r="G45" s="14" t="inlineStr">
        <is>
          <t>Yes</t>
        </is>
      </c>
      <c r="H45" s="14" t="inlineStr">
        <is>
          <t>NOT ASSESSED</t>
        </is>
      </c>
      <c r="I45" s="13" t="n">
        <v>1</v>
      </c>
      <c r="J45" s="15">
        <f>IF(OR(H45="MET",H45="NOT APPLICABLE"),0,IF(H45="NOT MET",I45,0))</f>
        <v/>
      </c>
      <c r="K45" s="14" t="inlineStr">
        <is>
          <t>Not Started</t>
        </is>
      </c>
      <c r="L45" s="14" t="inlineStr"/>
      <c r="M45" s="14" t="inlineStr"/>
      <c r="N45" s="14" t="inlineStr"/>
      <c r="O45" s="15">
        <f>IF(H45="NOT MET","Yes","No")</f>
        <v/>
      </c>
    </row>
    <row r="46">
      <c r="A46" s="13" t="inlineStr">
        <is>
          <t>CM</t>
        </is>
      </c>
      <c r="B46" s="13" t="inlineStr">
        <is>
          <t>CM.L2-3.4.7</t>
        </is>
      </c>
      <c r="C46" s="13" t="inlineStr">
        <is>
          <t>Nonessential Functionality</t>
        </is>
      </c>
      <c r="D46" s="13" t="inlineStr">
        <is>
          <t>Restrict, disable, or prevent the use of nonessential programs, functions, ports, protocols, and services.</t>
        </is>
      </c>
      <c r="E46" s="13" t="n">
        <v>113</v>
      </c>
      <c r="F46" s="13" t="n">
        <v>115</v>
      </c>
      <c r="G46" s="14" t="inlineStr">
        <is>
          <t>Yes</t>
        </is>
      </c>
      <c r="H46" s="14" t="inlineStr">
        <is>
          <t>NOT ASSESSED</t>
        </is>
      </c>
      <c r="I46" s="13" t="n">
        <v>1</v>
      </c>
      <c r="J46" s="15">
        <f>IF(OR(H46="MET",H46="NOT APPLICABLE"),0,IF(H46="NOT MET",I46,0))</f>
        <v/>
      </c>
      <c r="K46" s="14" t="inlineStr">
        <is>
          <t>Not Started</t>
        </is>
      </c>
      <c r="L46" s="14" t="inlineStr"/>
      <c r="M46" s="14" t="inlineStr"/>
      <c r="N46" s="14" t="inlineStr"/>
      <c r="O46" s="15">
        <f>IF(H46="NOT MET","Yes","No")</f>
        <v/>
      </c>
    </row>
    <row r="47">
      <c r="A47" s="13" t="inlineStr">
        <is>
          <t>CM</t>
        </is>
      </c>
      <c r="B47" s="13" t="inlineStr">
        <is>
          <t>CM.L2-3.4.8</t>
        </is>
      </c>
      <c r="C47" s="13" t="inlineStr">
        <is>
          <t>Application Execution Policy</t>
        </is>
      </c>
      <c r="D47" s="13" t="inlineStr">
        <is>
          <t>Apply deny-by-exception (blacklisting) policy to prevent the use of unauthorized software or deny-all, permit-by-exception (whitelisting) policy to allow the execution of authorized software.</t>
        </is>
      </c>
      <c r="E47" s="13" t="n">
        <v>116</v>
      </c>
      <c r="F47" s="13" t="n">
        <v>117</v>
      </c>
      <c r="G47" s="14" t="inlineStr">
        <is>
          <t>Yes</t>
        </is>
      </c>
      <c r="H47" s="14" t="inlineStr">
        <is>
          <t>NOT ASSESSED</t>
        </is>
      </c>
      <c r="I47" s="13" t="n">
        <v>1</v>
      </c>
      <c r="J47" s="15">
        <f>IF(OR(H47="MET",H47="NOT APPLICABLE"),0,IF(H47="NOT MET",I47,0))</f>
        <v/>
      </c>
      <c r="K47" s="14" t="inlineStr">
        <is>
          <t>Not Started</t>
        </is>
      </c>
      <c r="L47" s="14" t="inlineStr"/>
      <c r="M47" s="14" t="inlineStr"/>
      <c r="N47" s="14" t="inlineStr"/>
      <c r="O47" s="15">
        <f>IF(H47="NOT MET","Yes","No")</f>
        <v/>
      </c>
    </row>
    <row r="48">
      <c r="A48" s="13" t="inlineStr">
        <is>
          <t>CM</t>
        </is>
      </c>
      <c r="B48" s="13" t="inlineStr">
        <is>
          <t>CM.L2-3.4.9</t>
        </is>
      </c>
      <c r="C48" s="13" t="inlineStr">
        <is>
          <t>User-Installed Software</t>
        </is>
      </c>
      <c r="D48" s="13" t="inlineStr">
        <is>
          <t>Control and monitor user-installed software.</t>
        </is>
      </c>
      <c r="E48" s="13" t="n">
        <v>118</v>
      </c>
      <c r="F48" s="13" t="n">
        <v>119</v>
      </c>
      <c r="G48" s="14" t="inlineStr">
        <is>
          <t>Yes</t>
        </is>
      </c>
      <c r="H48" s="14" t="inlineStr">
        <is>
          <t>NOT ASSESSED</t>
        </is>
      </c>
      <c r="I48" s="13" t="n">
        <v>1</v>
      </c>
      <c r="J48" s="15">
        <f>IF(OR(H48="MET",H48="NOT APPLICABLE"),0,IF(H48="NOT MET",I48,0))</f>
        <v/>
      </c>
      <c r="K48" s="14" t="inlineStr">
        <is>
          <t>Not Started</t>
        </is>
      </c>
      <c r="L48" s="14" t="inlineStr"/>
      <c r="M48" s="14" t="inlineStr"/>
      <c r="N48" s="14" t="inlineStr"/>
      <c r="O48" s="15">
        <f>IF(H48="NOT MET","Yes","No")</f>
        <v/>
      </c>
    </row>
    <row r="49">
      <c r="A49" s="13" t="inlineStr">
        <is>
          <t>IA</t>
        </is>
      </c>
      <c r="B49" s="13" t="inlineStr">
        <is>
          <t>IA.L2-3.5.1</t>
        </is>
      </c>
      <c r="C49" s="13" t="inlineStr">
        <is>
          <t>Identification [CUI Data]</t>
        </is>
      </c>
      <c r="D49" s="13" t="inlineStr">
        <is>
          <t>Identify system users, processes acting on behalf of users, and devices.</t>
        </is>
      </c>
      <c r="E49" s="13" t="n">
        <v>120</v>
      </c>
      <c r="F49" s="13" t="n">
        <v>121</v>
      </c>
      <c r="G49" s="14" t="inlineStr">
        <is>
          <t>Yes</t>
        </is>
      </c>
      <c r="H49" s="14" t="inlineStr">
        <is>
          <t>NOT ASSESSED</t>
        </is>
      </c>
      <c r="I49" s="13" t="n">
        <v>1</v>
      </c>
      <c r="J49" s="15">
        <f>IF(OR(H49="MET",H49="NOT APPLICABLE"),0,IF(H49="NOT MET",I49,0))</f>
        <v/>
      </c>
      <c r="K49" s="14" t="inlineStr">
        <is>
          <t>Not Started</t>
        </is>
      </c>
      <c r="L49" s="14" t="inlineStr"/>
      <c r="M49" s="14" t="inlineStr"/>
      <c r="N49" s="14" t="inlineStr"/>
      <c r="O49" s="15">
        <f>IF(H49="NOT MET","Yes","No")</f>
        <v/>
      </c>
    </row>
    <row r="50">
      <c r="A50" s="13" t="inlineStr">
        <is>
          <t>IA</t>
        </is>
      </c>
      <c r="B50" s="13" t="inlineStr">
        <is>
          <t>IA.L2-3.5.2</t>
        </is>
      </c>
      <c r="C50" s="13" t="inlineStr">
        <is>
          <t>Authentication [CUI Data]</t>
        </is>
      </c>
      <c r="D50" s="13" t="inlineStr">
        <is>
          <t>Authenticate (or verify) the identities of users, processes, or devices, as a prerequisite to allowing access to organizational systems.</t>
        </is>
      </c>
      <c r="E50" s="13" t="n">
        <v>122</v>
      </c>
      <c r="F50" s="13" t="n">
        <v>124</v>
      </c>
      <c r="G50" s="14" t="inlineStr">
        <is>
          <t>Yes</t>
        </is>
      </c>
      <c r="H50" s="14" t="inlineStr">
        <is>
          <t>NOT ASSESSED</t>
        </is>
      </c>
      <c r="I50" s="13" t="n">
        <v>1</v>
      </c>
      <c r="J50" s="15">
        <f>IF(OR(H50="MET",H50="NOT APPLICABLE"),0,IF(H50="NOT MET",I50,0))</f>
        <v/>
      </c>
      <c r="K50" s="14" t="inlineStr">
        <is>
          <t>Not Started</t>
        </is>
      </c>
      <c r="L50" s="14" t="inlineStr"/>
      <c r="M50" s="14" t="inlineStr"/>
      <c r="N50" s="14" t="inlineStr"/>
      <c r="O50" s="15">
        <f>IF(H50="NOT MET","Yes","No")</f>
        <v/>
      </c>
    </row>
    <row r="51">
      <c r="A51" s="13" t="inlineStr">
        <is>
          <t>IA</t>
        </is>
      </c>
      <c r="B51" s="13" t="inlineStr">
        <is>
          <t>IA.L2-3.5.3</t>
        </is>
      </c>
      <c r="C51" s="13" t="inlineStr">
        <is>
          <t>Multifactor Authentication</t>
        </is>
      </c>
      <c r="D51" s="13" t="inlineStr">
        <is>
          <t>Use multifactor authentication for local and network access to privileged accounts and for network access to non-privileged accounts.</t>
        </is>
      </c>
      <c r="E51" s="13" t="n">
        <v>125</v>
      </c>
      <c r="F51" s="13" t="n">
        <v>127</v>
      </c>
      <c r="G51" s="14" t="inlineStr">
        <is>
          <t>Yes</t>
        </is>
      </c>
      <c r="H51" s="14" t="inlineStr">
        <is>
          <t>NOT ASSESSED</t>
        </is>
      </c>
      <c r="I51" s="13" t="n">
        <v>1</v>
      </c>
      <c r="J51" s="15">
        <f>IF(OR(H51="MET",H51="NOT APPLICABLE"),0,IF(H51="NOT MET",I51,0))</f>
        <v/>
      </c>
      <c r="K51" s="14" t="inlineStr">
        <is>
          <t>Not Started</t>
        </is>
      </c>
      <c r="L51" s="14" t="inlineStr"/>
      <c r="M51" s="14" t="inlineStr"/>
      <c r="N51" s="14" t="inlineStr"/>
      <c r="O51" s="15">
        <f>IF(H51="NOT MET","Yes","No")</f>
        <v/>
      </c>
    </row>
    <row r="52">
      <c r="A52" s="13" t="inlineStr">
        <is>
          <t>IA</t>
        </is>
      </c>
      <c r="B52" s="13" t="inlineStr">
        <is>
          <t>IA.L2-3.5.4</t>
        </is>
      </c>
      <c r="C52" s="13" t="inlineStr">
        <is>
          <t>Replay-Resistant Authentication</t>
        </is>
      </c>
      <c r="D52" s="13" t="inlineStr">
        <is>
          <t>Employ replay -resistant authentication mechanisms for network access to privileged and non-privileged accounts.</t>
        </is>
      </c>
      <c r="E52" s="13" t="n">
        <v>128</v>
      </c>
      <c r="F52" s="13" t="n">
        <v>129</v>
      </c>
      <c r="G52" s="14" t="inlineStr">
        <is>
          <t>Yes</t>
        </is>
      </c>
      <c r="H52" s="14" t="inlineStr">
        <is>
          <t>NOT ASSESSED</t>
        </is>
      </c>
      <c r="I52" s="13" t="n">
        <v>1</v>
      </c>
      <c r="J52" s="15">
        <f>IF(OR(H52="MET",H52="NOT APPLICABLE"),0,IF(H52="NOT MET",I52,0))</f>
        <v/>
      </c>
      <c r="K52" s="14" t="inlineStr">
        <is>
          <t>Not Started</t>
        </is>
      </c>
      <c r="L52" s="14" t="inlineStr"/>
      <c r="M52" s="14" t="inlineStr"/>
      <c r="N52" s="14" t="inlineStr"/>
      <c r="O52" s="15">
        <f>IF(H52="NOT MET","Yes","No")</f>
        <v/>
      </c>
    </row>
    <row r="53">
      <c r="A53" s="13" t="inlineStr">
        <is>
          <t>IA</t>
        </is>
      </c>
      <c r="B53" s="13" t="inlineStr">
        <is>
          <t>IA.L2-3.5.5</t>
        </is>
      </c>
      <c r="C53" s="13" t="inlineStr">
        <is>
          <t>Identifier Reuse</t>
        </is>
      </c>
      <c r="D53" s="13" t="inlineStr">
        <is>
          <t>Prevent reuse of identifiers for a defined period.</t>
        </is>
      </c>
      <c r="E53" s="13" t="n">
        <v>130</v>
      </c>
      <c r="F53" s="13" t="n">
        <v>131</v>
      </c>
      <c r="G53" s="14" t="inlineStr">
        <is>
          <t>Yes</t>
        </is>
      </c>
      <c r="H53" s="14" t="inlineStr">
        <is>
          <t>NOT ASSESSED</t>
        </is>
      </c>
      <c r="I53" s="13" t="n">
        <v>1</v>
      </c>
      <c r="J53" s="15">
        <f>IF(OR(H53="MET",H53="NOT APPLICABLE"),0,IF(H53="NOT MET",I53,0))</f>
        <v/>
      </c>
      <c r="K53" s="14" t="inlineStr">
        <is>
          <t>Not Started</t>
        </is>
      </c>
      <c r="L53" s="14" t="inlineStr"/>
      <c r="M53" s="14" t="inlineStr"/>
      <c r="N53" s="14" t="inlineStr"/>
      <c r="O53" s="15">
        <f>IF(H53="NOT MET","Yes","No")</f>
        <v/>
      </c>
    </row>
    <row r="54">
      <c r="A54" s="13" t="inlineStr">
        <is>
          <t>IA</t>
        </is>
      </c>
      <c r="B54" s="13" t="inlineStr">
        <is>
          <t>IA.L2-3.5.6</t>
        </is>
      </c>
      <c r="C54" s="13" t="inlineStr">
        <is>
          <t>Identifier Handling</t>
        </is>
      </c>
      <c r="D54" s="13" t="inlineStr">
        <is>
          <t>Disable identifiers after a defined period of inactivity.</t>
        </is>
      </c>
      <c r="E54" s="13" t="n">
        <v>132</v>
      </c>
      <c r="F54" s="13" t="n">
        <v>133</v>
      </c>
      <c r="G54" s="14" t="inlineStr">
        <is>
          <t>Yes</t>
        </is>
      </c>
      <c r="H54" s="14" t="inlineStr">
        <is>
          <t>NOT ASSESSED</t>
        </is>
      </c>
      <c r="I54" s="13" t="n">
        <v>1</v>
      </c>
      <c r="J54" s="15">
        <f>IF(OR(H54="MET",H54="NOT APPLICABLE"),0,IF(H54="NOT MET",I54,0))</f>
        <v/>
      </c>
      <c r="K54" s="14" t="inlineStr">
        <is>
          <t>Not Started</t>
        </is>
      </c>
      <c r="L54" s="14" t="inlineStr"/>
      <c r="M54" s="14" t="inlineStr"/>
      <c r="N54" s="14" t="inlineStr"/>
      <c r="O54" s="15">
        <f>IF(H54="NOT MET","Yes","No")</f>
        <v/>
      </c>
    </row>
    <row r="55">
      <c r="A55" s="13" t="inlineStr">
        <is>
          <t>IA</t>
        </is>
      </c>
      <c r="B55" s="13" t="inlineStr">
        <is>
          <t>IA.L2-3.5.7</t>
        </is>
      </c>
      <c r="C55" s="13" t="inlineStr">
        <is>
          <t>Password Complexity</t>
        </is>
      </c>
      <c r="D55" s="13" t="inlineStr">
        <is>
          <t>Enforce a minimum password complexity and change of characters when new passwords are created.</t>
        </is>
      </c>
      <c r="E55" s="13" t="n">
        <v>134</v>
      </c>
      <c r="F55" s="13" t="n">
        <v>135</v>
      </c>
      <c r="G55" s="14" t="inlineStr">
        <is>
          <t>Yes</t>
        </is>
      </c>
      <c r="H55" s="14" t="inlineStr">
        <is>
          <t>NOT ASSESSED</t>
        </is>
      </c>
      <c r="I55" s="13" t="n">
        <v>1</v>
      </c>
      <c r="J55" s="15">
        <f>IF(OR(H55="MET",H55="NOT APPLICABLE"),0,IF(H55="NOT MET",I55,0))</f>
        <v/>
      </c>
      <c r="K55" s="14" t="inlineStr">
        <is>
          <t>Not Started</t>
        </is>
      </c>
      <c r="L55" s="14" t="inlineStr"/>
      <c r="M55" s="14" t="inlineStr"/>
      <c r="N55" s="14" t="inlineStr"/>
      <c r="O55" s="15">
        <f>IF(H55="NOT MET","Yes","No")</f>
        <v/>
      </c>
    </row>
    <row r="56">
      <c r="A56" s="13" t="inlineStr">
        <is>
          <t>IA</t>
        </is>
      </c>
      <c r="B56" s="13" t="inlineStr">
        <is>
          <t>IA.L2-3.5.8</t>
        </is>
      </c>
      <c r="C56" s="13" t="inlineStr">
        <is>
          <t>Password Reuse</t>
        </is>
      </c>
      <c r="D56" s="13" t="inlineStr">
        <is>
          <t>Prohibit password reuse for a specified number of generations.</t>
        </is>
      </c>
      <c r="E56" s="13" t="n">
        <v>136</v>
      </c>
      <c r="F56" s="13" t="n">
        <v>137</v>
      </c>
      <c r="G56" s="14" t="inlineStr">
        <is>
          <t>Yes</t>
        </is>
      </c>
      <c r="H56" s="14" t="inlineStr">
        <is>
          <t>NOT ASSESSED</t>
        </is>
      </c>
      <c r="I56" s="13" t="n">
        <v>1</v>
      </c>
      <c r="J56" s="15">
        <f>IF(OR(H56="MET",H56="NOT APPLICABLE"),0,IF(H56="NOT MET",I56,0))</f>
        <v/>
      </c>
      <c r="K56" s="14" t="inlineStr">
        <is>
          <t>Not Started</t>
        </is>
      </c>
      <c r="L56" s="14" t="inlineStr"/>
      <c r="M56" s="14" t="inlineStr"/>
      <c r="N56" s="14" t="inlineStr"/>
      <c r="O56" s="15">
        <f>IF(H56="NOT MET","Yes","No")</f>
        <v/>
      </c>
    </row>
    <row r="57">
      <c r="A57" s="13" t="inlineStr">
        <is>
          <t>IA</t>
        </is>
      </c>
      <c r="B57" s="13" t="inlineStr">
        <is>
          <t>IA.L2-3.5.9</t>
        </is>
      </c>
      <c r="C57" s="13" t="inlineStr">
        <is>
          <t>Temporary Passwords</t>
        </is>
      </c>
      <c r="D57" s="13" t="inlineStr">
        <is>
          <t>Allow temporary password use for system logons with an immediate change to a permanent password.</t>
        </is>
      </c>
      <c r="E57" s="13" t="n">
        <v>138</v>
      </c>
      <c r="F57" s="13" t="n">
        <v>139</v>
      </c>
      <c r="G57" s="14" t="inlineStr">
        <is>
          <t>Yes</t>
        </is>
      </c>
      <c r="H57" s="14" t="inlineStr">
        <is>
          <t>NOT ASSESSED</t>
        </is>
      </c>
      <c r="I57" s="13" t="n">
        <v>1</v>
      </c>
      <c r="J57" s="15">
        <f>IF(OR(H57="MET",H57="NOT APPLICABLE"),0,IF(H57="NOT MET",I57,0))</f>
        <v/>
      </c>
      <c r="K57" s="14" t="inlineStr">
        <is>
          <t>Not Started</t>
        </is>
      </c>
      <c r="L57" s="14" t="inlineStr"/>
      <c r="M57" s="14" t="inlineStr"/>
      <c r="N57" s="14" t="inlineStr"/>
      <c r="O57" s="15">
        <f>IF(H57="NOT MET","Yes","No")</f>
        <v/>
      </c>
    </row>
    <row r="58">
      <c r="A58" s="13" t="inlineStr">
        <is>
          <t>IA</t>
        </is>
      </c>
      <c r="B58" s="13" t="inlineStr">
        <is>
          <t>IA.L2-3.5.10</t>
        </is>
      </c>
      <c r="C58" s="13" t="inlineStr">
        <is>
          <t>Cryptographically-Protected Passwords</t>
        </is>
      </c>
      <c r="D58" s="13" t="inlineStr">
        <is>
          <t>Store and transmit only cryptographically-protected passwords.</t>
        </is>
      </c>
      <c r="E58" s="13" t="n">
        <v>140</v>
      </c>
      <c r="F58" s="13" t="n">
        <v>141</v>
      </c>
      <c r="G58" s="14" t="inlineStr">
        <is>
          <t>Yes</t>
        </is>
      </c>
      <c r="H58" s="14" t="inlineStr">
        <is>
          <t>NOT ASSESSED</t>
        </is>
      </c>
      <c r="I58" s="13" t="n">
        <v>1</v>
      </c>
      <c r="J58" s="15">
        <f>IF(OR(H58="MET",H58="NOT APPLICABLE"),0,IF(H58="NOT MET",I58,0))</f>
        <v/>
      </c>
      <c r="K58" s="14" t="inlineStr">
        <is>
          <t>Not Started</t>
        </is>
      </c>
      <c r="L58" s="14" t="inlineStr"/>
      <c r="M58" s="14" t="inlineStr"/>
      <c r="N58" s="14" t="inlineStr"/>
      <c r="O58" s="15">
        <f>IF(H58="NOT MET","Yes","No")</f>
        <v/>
      </c>
    </row>
    <row r="59">
      <c r="A59" s="13" t="inlineStr">
        <is>
          <t>IA</t>
        </is>
      </c>
      <c r="B59" s="13" t="inlineStr">
        <is>
          <t>IA.L2-3.5.11</t>
        </is>
      </c>
      <c r="C59" s="13" t="inlineStr">
        <is>
          <t>Obscure Feedback</t>
        </is>
      </c>
      <c r="D59" s="13" t="inlineStr">
        <is>
          <t>Obscure feedback of authentication information.</t>
        </is>
      </c>
      <c r="E59" s="13" t="n">
        <v>142</v>
      </c>
      <c r="F59" s="13" t="n">
        <v>143</v>
      </c>
      <c r="G59" s="14" t="inlineStr">
        <is>
          <t>Yes</t>
        </is>
      </c>
      <c r="H59" s="14" t="inlineStr">
        <is>
          <t>NOT ASSESSED</t>
        </is>
      </c>
      <c r="I59" s="13" t="n">
        <v>1</v>
      </c>
      <c r="J59" s="15">
        <f>IF(OR(H59="MET",H59="NOT APPLICABLE"),0,IF(H59="NOT MET",I59,0))</f>
        <v/>
      </c>
      <c r="K59" s="14" t="inlineStr">
        <is>
          <t>Not Started</t>
        </is>
      </c>
      <c r="L59" s="14" t="inlineStr"/>
      <c r="M59" s="14" t="inlineStr"/>
      <c r="N59" s="14" t="inlineStr"/>
      <c r="O59" s="15">
        <f>IF(H59="NOT MET","Yes","No")</f>
        <v/>
      </c>
    </row>
    <row r="60">
      <c r="A60" s="13" t="inlineStr">
        <is>
          <t>IR</t>
        </is>
      </c>
      <c r="B60" s="13" t="inlineStr">
        <is>
          <t>IR.L2-3.6.1</t>
        </is>
      </c>
      <c r="C60" s="13" t="inlineStr">
        <is>
          <t>Incident Handling</t>
        </is>
      </c>
      <c r="D60" s="13" t="inlineStr">
        <is>
          <t>Establish an operational incident-handling capability for organizational systems that includes preparation, detection, analysis, containment, recovery, and user response activities.</t>
        </is>
      </c>
      <c r="E60" s="13" t="n">
        <v>144</v>
      </c>
      <c r="F60" s="13" t="n">
        <v>146</v>
      </c>
      <c r="G60" s="14" t="inlineStr">
        <is>
          <t>Yes</t>
        </is>
      </c>
      <c r="H60" s="14" t="inlineStr">
        <is>
          <t>NOT ASSESSED</t>
        </is>
      </c>
      <c r="I60" s="13" t="n">
        <v>1</v>
      </c>
      <c r="J60" s="15">
        <f>IF(OR(H60="MET",H60="NOT APPLICABLE"),0,IF(H60="NOT MET",I60,0))</f>
        <v/>
      </c>
      <c r="K60" s="14" t="inlineStr">
        <is>
          <t>Not Started</t>
        </is>
      </c>
      <c r="L60" s="14" t="inlineStr"/>
      <c r="M60" s="14" t="inlineStr"/>
      <c r="N60" s="14" t="inlineStr"/>
      <c r="O60" s="15">
        <f>IF(H60="NOT MET","Yes","No")</f>
        <v/>
      </c>
    </row>
    <row r="61">
      <c r="A61" s="13" t="inlineStr">
        <is>
          <t>IR</t>
        </is>
      </c>
      <c r="B61" s="13" t="inlineStr">
        <is>
          <t>IR.L2-3.6.2</t>
        </is>
      </c>
      <c r="C61" s="13" t="inlineStr">
        <is>
          <t>Incident Reporting</t>
        </is>
      </c>
      <c r="D61" s="13" t="inlineStr">
        <is>
          <t>Track, document, and report incidents to designated officials and/or authorities both internal and external to the organization.</t>
        </is>
      </c>
      <c r="E61" s="13" t="n">
        <v>147</v>
      </c>
      <c r="F61" s="13" t="n">
        <v>149</v>
      </c>
      <c r="G61" s="14" t="inlineStr">
        <is>
          <t>Yes</t>
        </is>
      </c>
      <c r="H61" s="14" t="inlineStr">
        <is>
          <t>NOT ASSESSED</t>
        </is>
      </c>
      <c r="I61" s="13" t="n">
        <v>1</v>
      </c>
      <c r="J61" s="15">
        <f>IF(OR(H61="MET",H61="NOT APPLICABLE"),0,IF(H61="NOT MET",I61,0))</f>
        <v/>
      </c>
      <c r="K61" s="14" t="inlineStr">
        <is>
          <t>Not Started</t>
        </is>
      </c>
      <c r="L61" s="14" t="inlineStr"/>
      <c r="M61" s="14" t="inlineStr"/>
      <c r="N61" s="14" t="inlineStr"/>
      <c r="O61" s="15">
        <f>IF(H61="NOT MET","Yes","No")</f>
        <v/>
      </c>
    </row>
    <row r="62">
      <c r="A62" s="13" t="inlineStr">
        <is>
          <t>IR</t>
        </is>
      </c>
      <c r="B62" s="13" t="inlineStr">
        <is>
          <t>IR.L2-3.6.3</t>
        </is>
      </c>
      <c r="C62" s="13" t="inlineStr">
        <is>
          <t>Incident Response Testing</t>
        </is>
      </c>
      <c r="D62" s="13" t="inlineStr">
        <is>
          <t>Test the organizational incident response capability.</t>
        </is>
      </c>
      <c r="E62" s="13" t="n">
        <v>150</v>
      </c>
      <c r="F62" s="13" t="n">
        <v>151</v>
      </c>
      <c r="G62" s="14" t="inlineStr">
        <is>
          <t>Yes</t>
        </is>
      </c>
      <c r="H62" s="14" t="inlineStr">
        <is>
          <t>NOT ASSESSED</t>
        </is>
      </c>
      <c r="I62" s="13" t="n">
        <v>1</v>
      </c>
      <c r="J62" s="15">
        <f>IF(OR(H62="MET",H62="NOT APPLICABLE"),0,IF(H62="NOT MET",I62,0))</f>
        <v/>
      </c>
      <c r="K62" s="14" t="inlineStr">
        <is>
          <t>Not Started</t>
        </is>
      </c>
      <c r="L62" s="14" t="inlineStr"/>
      <c r="M62" s="14" t="inlineStr"/>
      <c r="N62" s="14" t="inlineStr"/>
      <c r="O62" s="15">
        <f>IF(H62="NOT MET","Yes","No")</f>
        <v/>
      </c>
    </row>
    <row r="63">
      <c r="A63" s="13" t="inlineStr">
        <is>
          <t>MA</t>
        </is>
      </c>
      <c r="B63" s="13" t="inlineStr">
        <is>
          <t>MA.L2-3.7.1</t>
        </is>
      </c>
      <c r="C63" s="13" t="inlineStr">
        <is>
          <t>Perform Maintenance</t>
        </is>
      </c>
      <c r="D63" s="13" t="inlineStr">
        <is>
          <t>Perform maintenance on organizational systems.</t>
        </is>
      </c>
      <c r="E63" s="13" t="n">
        <v>152</v>
      </c>
      <c r="F63" s="13" t="n">
        <v>153</v>
      </c>
      <c r="G63" s="14" t="inlineStr">
        <is>
          <t>Yes</t>
        </is>
      </c>
      <c r="H63" s="14" t="inlineStr">
        <is>
          <t>NOT ASSESSED</t>
        </is>
      </c>
      <c r="I63" s="13" t="n">
        <v>1</v>
      </c>
      <c r="J63" s="15">
        <f>IF(OR(H63="MET",H63="NOT APPLICABLE"),0,IF(H63="NOT MET",I63,0))</f>
        <v/>
      </c>
      <c r="K63" s="14" t="inlineStr">
        <is>
          <t>Not Started</t>
        </is>
      </c>
      <c r="L63" s="14" t="inlineStr"/>
      <c r="M63" s="14" t="inlineStr"/>
      <c r="N63" s="14" t="inlineStr"/>
      <c r="O63" s="15">
        <f>IF(H63="NOT MET","Yes","No")</f>
        <v/>
      </c>
    </row>
    <row r="64">
      <c r="A64" s="13" t="inlineStr">
        <is>
          <t>MA</t>
        </is>
      </c>
      <c r="B64" s="13" t="inlineStr">
        <is>
          <t>MA.L2-3.7.2</t>
        </is>
      </c>
      <c r="C64" s="13" t="inlineStr">
        <is>
          <t>System Maintenance Control</t>
        </is>
      </c>
      <c r="D64" s="13" t="inlineStr">
        <is>
          <t>Provide controls on the tools, techniques, mechanisms, and personnel used to conduct system maintenance.</t>
        </is>
      </c>
      <c r="E64" s="13" t="n">
        <v>154</v>
      </c>
      <c r="F64" s="13" t="n">
        <v>155</v>
      </c>
      <c r="G64" s="14" t="inlineStr">
        <is>
          <t>Yes</t>
        </is>
      </c>
      <c r="H64" s="14" t="inlineStr">
        <is>
          <t>NOT ASSESSED</t>
        </is>
      </c>
      <c r="I64" s="13" t="n">
        <v>1</v>
      </c>
      <c r="J64" s="15">
        <f>IF(OR(H64="MET",H64="NOT APPLICABLE"),0,IF(H64="NOT MET",I64,0))</f>
        <v/>
      </c>
      <c r="K64" s="14" t="inlineStr">
        <is>
          <t>Not Started</t>
        </is>
      </c>
      <c r="L64" s="14" t="inlineStr"/>
      <c r="M64" s="14" t="inlineStr"/>
      <c r="N64" s="14" t="inlineStr"/>
      <c r="O64" s="15">
        <f>IF(H64="NOT MET","Yes","No")</f>
        <v/>
      </c>
    </row>
    <row r="65">
      <c r="A65" s="13" t="inlineStr">
        <is>
          <t>MA</t>
        </is>
      </c>
      <c r="B65" s="13" t="inlineStr">
        <is>
          <t>MA.L2-3.7.3</t>
        </is>
      </c>
      <c r="C65" s="13" t="inlineStr">
        <is>
          <t>Equipment Sanitization</t>
        </is>
      </c>
      <c r="D65" s="13" t="inlineStr">
        <is>
          <t>Ensure equipment removed for off-site maintenance is sanitized of any CUI.</t>
        </is>
      </c>
      <c r="E65" s="13" t="n">
        <v>156</v>
      </c>
      <c r="F65" s="13" t="n">
        <v>157</v>
      </c>
      <c r="G65" s="14" t="inlineStr">
        <is>
          <t>Yes</t>
        </is>
      </c>
      <c r="H65" s="14" t="inlineStr">
        <is>
          <t>NOT ASSESSED</t>
        </is>
      </c>
      <c r="I65" s="13" t="n">
        <v>1</v>
      </c>
      <c r="J65" s="15">
        <f>IF(OR(H65="MET",H65="NOT APPLICABLE"),0,IF(H65="NOT MET",I65,0))</f>
        <v/>
      </c>
      <c r="K65" s="14" t="inlineStr">
        <is>
          <t>Not Started</t>
        </is>
      </c>
      <c r="L65" s="14" t="inlineStr"/>
      <c r="M65" s="14" t="inlineStr"/>
      <c r="N65" s="14" t="inlineStr"/>
      <c r="O65" s="15">
        <f>IF(H65="NOT MET","Yes","No")</f>
        <v/>
      </c>
    </row>
    <row r="66">
      <c r="A66" s="13" t="inlineStr">
        <is>
          <t>MA</t>
        </is>
      </c>
      <c r="B66" s="13" t="inlineStr">
        <is>
          <t>MA.L2-3.7.4</t>
        </is>
      </c>
      <c r="C66" s="13" t="inlineStr">
        <is>
          <t>Media Inspection</t>
        </is>
      </c>
      <c r="D66" s="13" t="inlineStr">
        <is>
          <t>Check media containing diagnostic and test programs for malicious code before the media are used in organizational systems.</t>
        </is>
      </c>
      <c r="E66" s="13" t="n">
        <v>158</v>
      </c>
      <c r="F66" s="13" t="n">
        <v>159</v>
      </c>
      <c r="G66" s="14" t="inlineStr">
        <is>
          <t>Yes</t>
        </is>
      </c>
      <c r="H66" s="14" t="inlineStr">
        <is>
          <t>NOT ASSESSED</t>
        </is>
      </c>
      <c r="I66" s="13" t="n">
        <v>1</v>
      </c>
      <c r="J66" s="15">
        <f>IF(OR(H66="MET",H66="NOT APPLICABLE"),0,IF(H66="NOT MET",I66,0))</f>
        <v/>
      </c>
      <c r="K66" s="14" t="inlineStr">
        <is>
          <t>Not Started</t>
        </is>
      </c>
      <c r="L66" s="14" t="inlineStr"/>
      <c r="M66" s="14" t="inlineStr"/>
      <c r="N66" s="14" t="inlineStr"/>
      <c r="O66" s="15">
        <f>IF(H66="NOT MET","Yes","No")</f>
        <v/>
      </c>
    </row>
    <row r="67">
      <c r="A67" s="13" t="inlineStr">
        <is>
          <t>MA</t>
        </is>
      </c>
      <c r="B67" s="13" t="inlineStr">
        <is>
          <t>MA.L2-3.7.5</t>
        </is>
      </c>
      <c r="C67" s="13" t="inlineStr">
        <is>
          <t>Nonlocal Maintenance</t>
        </is>
      </c>
      <c r="D67" s="13" t="inlineStr">
        <is>
          <t>Require multifactor authentication to establish nonlocal maintenance sessions via external network connections and terminate such connections when nonlocal maintenance is complete.</t>
        </is>
      </c>
      <c r="E67" s="13" t="n">
        <v>160</v>
      </c>
      <c r="F67" s="13" t="n">
        <v>162</v>
      </c>
      <c r="G67" s="14" t="inlineStr">
        <is>
          <t>Yes</t>
        </is>
      </c>
      <c r="H67" s="14" t="inlineStr">
        <is>
          <t>NOT ASSESSED</t>
        </is>
      </c>
      <c r="I67" s="13" t="n">
        <v>1</v>
      </c>
      <c r="J67" s="15">
        <f>IF(OR(H67="MET",H67="NOT APPLICABLE"),0,IF(H67="NOT MET",I67,0))</f>
        <v/>
      </c>
      <c r="K67" s="14" t="inlineStr">
        <is>
          <t>Not Started</t>
        </is>
      </c>
      <c r="L67" s="14" t="inlineStr"/>
      <c r="M67" s="14" t="inlineStr"/>
      <c r="N67" s="14" t="inlineStr"/>
      <c r="O67" s="15">
        <f>IF(H67="NOT MET","Yes","No")</f>
        <v/>
      </c>
    </row>
    <row r="68">
      <c r="A68" s="13" t="inlineStr">
        <is>
          <t>MA</t>
        </is>
      </c>
      <c r="B68" s="13" t="inlineStr">
        <is>
          <t>MA.L2-3.7.6</t>
        </is>
      </c>
      <c r="C68" s="13" t="inlineStr">
        <is>
          <t>Maintenance Personnel</t>
        </is>
      </c>
      <c r="D68" s="13" t="inlineStr">
        <is>
          <t>Supervise the maintenance activities of maintenance personnel without required access authorization.</t>
        </is>
      </c>
      <c r="E68" s="13" t="n">
        <v>163</v>
      </c>
      <c r="F68" s="13" t="n">
        <v>164</v>
      </c>
      <c r="G68" s="14" t="inlineStr">
        <is>
          <t>Yes</t>
        </is>
      </c>
      <c r="H68" s="14" t="inlineStr">
        <is>
          <t>NOT ASSESSED</t>
        </is>
      </c>
      <c r="I68" s="13" t="n">
        <v>1</v>
      </c>
      <c r="J68" s="15">
        <f>IF(OR(H68="MET",H68="NOT APPLICABLE"),0,IF(H68="NOT MET",I68,0))</f>
        <v/>
      </c>
      <c r="K68" s="14" t="inlineStr">
        <is>
          <t>Not Started</t>
        </is>
      </c>
      <c r="L68" s="14" t="inlineStr"/>
      <c r="M68" s="14" t="inlineStr"/>
      <c r="N68" s="14" t="inlineStr"/>
      <c r="O68" s="15">
        <f>IF(H68="NOT MET","Yes","No")</f>
        <v/>
      </c>
    </row>
    <row r="69">
      <c r="A69" s="13" t="inlineStr">
        <is>
          <t>MP</t>
        </is>
      </c>
      <c r="B69" s="13" t="inlineStr">
        <is>
          <t>MP.L2-3.8.1</t>
        </is>
      </c>
      <c r="C69" s="13" t="inlineStr">
        <is>
          <t>Media Protection</t>
        </is>
      </c>
      <c r="D69" s="13" t="inlineStr">
        <is>
          <t>Protect (i.e., physically control and securely store) system media containing CUI, both paper and digital.</t>
        </is>
      </c>
      <c r="E69" s="13" t="n">
        <v>165</v>
      </c>
      <c r="F69" s="13" t="n">
        <v>166</v>
      </c>
      <c r="G69" s="14" t="inlineStr">
        <is>
          <t>Yes</t>
        </is>
      </c>
      <c r="H69" s="14" t="inlineStr">
        <is>
          <t>NOT ASSESSED</t>
        </is>
      </c>
      <c r="I69" s="13" t="n">
        <v>1</v>
      </c>
      <c r="J69" s="15">
        <f>IF(OR(H69="MET",H69="NOT APPLICABLE"),0,IF(H69="NOT MET",I69,0))</f>
        <v/>
      </c>
      <c r="K69" s="14" t="inlineStr">
        <is>
          <t>Not Started</t>
        </is>
      </c>
      <c r="L69" s="14" t="inlineStr"/>
      <c r="M69" s="14" t="inlineStr"/>
      <c r="N69" s="14" t="inlineStr"/>
      <c r="O69" s="15">
        <f>IF(H69="NOT MET","Yes","No")</f>
        <v/>
      </c>
    </row>
    <row r="70">
      <c r="A70" s="13" t="inlineStr">
        <is>
          <t>MP</t>
        </is>
      </c>
      <c r="B70" s="13" t="inlineStr">
        <is>
          <t>MP.L2-3.8.2</t>
        </is>
      </c>
      <c r="C70" s="13" t="inlineStr">
        <is>
          <t>Media Access</t>
        </is>
      </c>
      <c r="D70" s="13" t="inlineStr">
        <is>
          <t>Limit access to CUI on system media to authorized users.</t>
        </is>
      </c>
      <c r="E70" s="13" t="n">
        <v>167</v>
      </c>
      <c r="F70" s="13" t="n">
        <v>168</v>
      </c>
      <c r="G70" s="14" t="inlineStr">
        <is>
          <t>Yes</t>
        </is>
      </c>
      <c r="H70" s="14" t="inlineStr">
        <is>
          <t>NOT ASSESSED</t>
        </is>
      </c>
      <c r="I70" s="13" t="n">
        <v>1</v>
      </c>
      <c r="J70" s="15">
        <f>IF(OR(H70="MET",H70="NOT APPLICABLE"),0,IF(H70="NOT MET",I70,0))</f>
        <v/>
      </c>
      <c r="K70" s="14" t="inlineStr">
        <is>
          <t>Not Started</t>
        </is>
      </c>
      <c r="L70" s="14" t="inlineStr"/>
      <c r="M70" s="14" t="inlineStr"/>
      <c r="N70" s="14" t="inlineStr"/>
      <c r="O70" s="15">
        <f>IF(H70="NOT MET","Yes","No")</f>
        <v/>
      </c>
    </row>
    <row r="71">
      <c r="A71" s="13" t="inlineStr">
        <is>
          <t>MP</t>
        </is>
      </c>
      <c r="B71" s="13" t="inlineStr">
        <is>
          <t>MP.L2-3.8.3</t>
        </is>
      </c>
      <c r="C71" s="13" t="inlineStr">
        <is>
          <t>Media Disposal [CUI Data]</t>
        </is>
      </c>
      <c r="D71" s="13" t="inlineStr">
        <is>
          <t>Sanitize or destroy system media containing CUI before disposal or release for reuse.</t>
        </is>
      </c>
      <c r="E71" s="13" t="n">
        <v>169</v>
      </c>
      <c r="F71" s="13" t="n">
        <v>170</v>
      </c>
      <c r="G71" s="14" t="inlineStr">
        <is>
          <t>Yes</t>
        </is>
      </c>
      <c r="H71" s="14" t="inlineStr">
        <is>
          <t>NOT ASSESSED</t>
        </is>
      </c>
      <c r="I71" s="13" t="n">
        <v>1</v>
      </c>
      <c r="J71" s="15">
        <f>IF(OR(H71="MET",H71="NOT APPLICABLE"),0,IF(H71="NOT MET",I71,0))</f>
        <v/>
      </c>
      <c r="K71" s="14" t="inlineStr">
        <is>
          <t>Not Started</t>
        </is>
      </c>
      <c r="L71" s="14" t="inlineStr"/>
      <c r="M71" s="14" t="inlineStr"/>
      <c r="N71" s="14" t="inlineStr"/>
      <c r="O71" s="15">
        <f>IF(H71="NOT MET","Yes","No")</f>
        <v/>
      </c>
    </row>
    <row r="72">
      <c r="A72" s="13" t="inlineStr">
        <is>
          <t>MP</t>
        </is>
      </c>
      <c r="B72" s="13" t="inlineStr">
        <is>
          <t>MP.L2-3.8.4</t>
        </is>
      </c>
      <c r="C72" s="13" t="inlineStr">
        <is>
          <t>Media Markings</t>
        </is>
      </c>
      <c r="D72" s="13" t="inlineStr">
        <is>
          <t>Mark media with necessary CUI markings and distribution limitations.</t>
        </is>
      </c>
      <c r="E72" s="13" t="n">
        <v>171</v>
      </c>
      <c r="F72" s="13" t="n">
        <v>172</v>
      </c>
      <c r="G72" s="14" t="inlineStr">
        <is>
          <t>Yes</t>
        </is>
      </c>
      <c r="H72" s="14" t="inlineStr">
        <is>
          <t>NOT ASSESSED</t>
        </is>
      </c>
      <c r="I72" s="13" t="n">
        <v>1</v>
      </c>
      <c r="J72" s="15">
        <f>IF(OR(H72="MET",H72="NOT APPLICABLE"),0,IF(H72="NOT MET",I72,0))</f>
        <v/>
      </c>
      <c r="K72" s="14" t="inlineStr">
        <is>
          <t>Not Started</t>
        </is>
      </c>
      <c r="L72" s="14" t="inlineStr"/>
      <c r="M72" s="14" t="inlineStr"/>
      <c r="N72" s="14" t="inlineStr"/>
      <c r="O72" s="15">
        <f>IF(H72="NOT MET","Yes","No")</f>
        <v/>
      </c>
    </row>
    <row r="73">
      <c r="A73" s="13" t="inlineStr">
        <is>
          <t>MP</t>
        </is>
      </c>
      <c r="B73" s="13" t="inlineStr">
        <is>
          <t>MP.L2-3.8.5</t>
        </is>
      </c>
      <c r="C73" s="13" t="inlineStr">
        <is>
          <t>Media Accountability</t>
        </is>
      </c>
      <c r="D73" s="13" t="inlineStr">
        <is>
          <t>Control access to media containing CUI and maintain accountability for media during transport outside of controlled areas.</t>
        </is>
      </c>
      <c r="E73" s="13" t="n">
        <v>173</v>
      </c>
      <c r="F73" s="13" t="n">
        <v>174</v>
      </c>
      <c r="G73" s="14" t="inlineStr">
        <is>
          <t>Yes</t>
        </is>
      </c>
      <c r="H73" s="14" t="inlineStr">
        <is>
          <t>NOT ASSESSED</t>
        </is>
      </c>
      <c r="I73" s="13" t="n">
        <v>1</v>
      </c>
      <c r="J73" s="15">
        <f>IF(OR(H73="MET",H73="NOT APPLICABLE"),0,IF(H73="NOT MET",I73,0))</f>
        <v/>
      </c>
      <c r="K73" s="14" t="inlineStr">
        <is>
          <t>Not Started</t>
        </is>
      </c>
      <c r="L73" s="14" t="inlineStr"/>
      <c r="M73" s="14" t="inlineStr"/>
      <c r="N73" s="14" t="inlineStr"/>
      <c r="O73" s="15">
        <f>IF(H73="NOT MET","Yes","No")</f>
        <v/>
      </c>
    </row>
    <row r="74">
      <c r="A74" s="13" t="inlineStr">
        <is>
          <t>MP</t>
        </is>
      </c>
      <c r="B74" s="13" t="inlineStr">
        <is>
          <t>MP.L2-3.8.6</t>
        </is>
      </c>
      <c r="C74" s="13" t="inlineStr">
        <is>
          <t>Portable Storage Encryption</t>
        </is>
      </c>
      <c r="D74" s="13" t="inlineStr">
        <is>
          <t>Implement cryptographic mechanisms to protect the confidentiality of CUI stored on digital media during transport unless otherwise protected by alternative physical safeguards.</t>
        </is>
      </c>
      <c r="E74" s="13" t="n">
        <v>175</v>
      </c>
      <c r="F74" s="13" t="n">
        <v>176</v>
      </c>
      <c r="G74" s="14" t="inlineStr">
        <is>
          <t>Yes</t>
        </is>
      </c>
      <c r="H74" s="14" t="inlineStr">
        <is>
          <t>NOT ASSESSED</t>
        </is>
      </c>
      <c r="I74" s="13" t="n">
        <v>1</v>
      </c>
      <c r="J74" s="15">
        <f>IF(OR(H74="MET",H74="NOT APPLICABLE"),0,IF(H74="NOT MET",I74,0))</f>
        <v/>
      </c>
      <c r="K74" s="14" t="inlineStr">
        <is>
          <t>Not Started</t>
        </is>
      </c>
      <c r="L74" s="14" t="inlineStr"/>
      <c r="M74" s="14" t="inlineStr"/>
      <c r="N74" s="14" t="inlineStr"/>
      <c r="O74" s="15">
        <f>IF(H74="NOT MET","Yes","No")</f>
        <v/>
      </c>
    </row>
    <row r="75">
      <c r="A75" s="13" t="inlineStr">
        <is>
          <t>MP</t>
        </is>
      </c>
      <c r="B75" s="13" t="inlineStr">
        <is>
          <t>MP.L2-3.8.7</t>
        </is>
      </c>
      <c r="C75" s="13" t="inlineStr">
        <is>
          <t>Removeable Media</t>
        </is>
      </c>
      <c r="D75" s="13" t="inlineStr">
        <is>
          <t>Control the use of removable media on system components.</t>
        </is>
      </c>
      <c r="E75" s="13" t="n">
        <v>177</v>
      </c>
      <c r="F75" s="13" t="n">
        <v>178</v>
      </c>
      <c r="G75" s="14" t="inlineStr">
        <is>
          <t>Yes</t>
        </is>
      </c>
      <c r="H75" s="14" t="inlineStr">
        <is>
          <t>NOT ASSESSED</t>
        </is>
      </c>
      <c r="I75" s="13" t="n">
        <v>1</v>
      </c>
      <c r="J75" s="15">
        <f>IF(OR(H75="MET",H75="NOT APPLICABLE"),0,IF(H75="NOT MET",I75,0))</f>
        <v/>
      </c>
      <c r="K75" s="14" t="inlineStr">
        <is>
          <t>Not Started</t>
        </is>
      </c>
      <c r="L75" s="14" t="inlineStr"/>
      <c r="M75" s="14" t="inlineStr"/>
      <c r="N75" s="14" t="inlineStr"/>
      <c r="O75" s="15">
        <f>IF(H75="NOT MET","Yes","No")</f>
        <v/>
      </c>
    </row>
    <row r="76">
      <c r="A76" s="13" t="inlineStr">
        <is>
          <t>MP</t>
        </is>
      </c>
      <c r="B76" s="13" t="inlineStr">
        <is>
          <t>MP.L2-3.8.8</t>
        </is>
      </c>
      <c r="C76" s="13" t="inlineStr">
        <is>
          <t>Shared Media</t>
        </is>
      </c>
      <c r="D76" s="13" t="inlineStr">
        <is>
          <t>Prohibit the use of portable storage devices when such devices have no identifiable owner.</t>
        </is>
      </c>
      <c r="E76" s="13" t="n">
        <v>179</v>
      </c>
      <c r="F76" s="13" t="n">
        <v>180</v>
      </c>
      <c r="G76" s="14" t="inlineStr">
        <is>
          <t>Yes</t>
        </is>
      </c>
      <c r="H76" s="14" t="inlineStr">
        <is>
          <t>NOT ASSESSED</t>
        </is>
      </c>
      <c r="I76" s="13" t="n">
        <v>1</v>
      </c>
      <c r="J76" s="15">
        <f>IF(OR(H76="MET",H76="NOT APPLICABLE"),0,IF(H76="NOT MET",I76,0))</f>
        <v/>
      </c>
      <c r="K76" s="14" t="inlineStr">
        <is>
          <t>Not Started</t>
        </is>
      </c>
      <c r="L76" s="14" t="inlineStr"/>
      <c r="M76" s="14" t="inlineStr"/>
      <c r="N76" s="14" t="inlineStr"/>
      <c r="O76" s="15">
        <f>IF(H76="NOT MET","Yes","No")</f>
        <v/>
      </c>
    </row>
    <row r="77">
      <c r="A77" s="13" t="inlineStr">
        <is>
          <t>MP</t>
        </is>
      </c>
      <c r="B77" s="13" t="inlineStr">
        <is>
          <t>MP.L2-3.8.9</t>
        </is>
      </c>
      <c r="C77" s="13" t="inlineStr">
        <is>
          <t>Protect Backups</t>
        </is>
      </c>
      <c r="D77" s="13" t="inlineStr">
        <is>
          <t>Protect the confidentiality of backup CUI at storage locations.</t>
        </is>
      </c>
      <c r="E77" s="13" t="n">
        <v>181</v>
      </c>
      <c r="F77" s="13" t="n">
        <v>182</v>
      </c>
      <c r="G77" s="14" t="inlineStr">
        <is>
          <t>Yes</t>
        </is>
      </c>
      <c r="H77" s="14" t="inlineStr">
        <is>
          <t>NOT ASSESSED</t>
        </is>
      </c>
      <c r="I77" s="13" t="n">
        <v>1</v>
      </c>
      <c r="J77" s="15">
        <f>IF(OR(H77="MET",H77="NOT APPLICABLE"),0,IF(H77="NOT MET",I77,0))</f>
        <v/>
      </c>
      <c r="K77" s="14" t="inlineStr">
        <is>
          <t>Not Started</t>
        </is>
      </c>
      <c r="L77" s="14" t="inlineStr"/>
      <c r="M77" s="14" t="inlineStr"/>
      <c r="N77" s="14" t="inlineStr"/>
      <c r="O77" s="15">
        <f>IF(H77="NOT MET","Yes","No")</f>
        <v/>
      </c>
    </row>
    <row r="78">
      <c r="A78" s="13" t="inlineStr">
        <is>
          <t>PS</t>
        </is>
      </c>
      <c r="B78" s="13" t="inlineStr">
        <is>
          <t>PS.L2-3.9.1</t>
        </is>
      </c>
      <c r="C78" s="13" t="inlineStr">
        <is>
          <t>Screen Individuals</t>
        </is>
      </c>
      <c r="D78" s="13" t="inlineStr">
        <is>
          <t>Screen individuals prior to authorizing access to organizational systems containing CUI.</t>
        </is>
      </c>
      <c r="E78" s="13" t="n">
        <v>183</v>
      </c>
      <c r="F78" s="13" t="n">
        <v>184</v>
      </c>
      <c r="G78" s="14" t="inlineStr">
        <is>
          <t>Yes</t>
        </is>
      </c>
      <c r="H78" s="14" t="inlineStr">
        <is>
          <t>NOT ASSESSED</t>
        </is>
      </c>
      <c r="I78" s="13" t="n">
        <v>1</v>
      </c>
      <c r="J78" s="15">
        <f>IF(OR(H78="MET",H78="NOT APPLICABLE"),0,IF(H78="NOT MET",I78,0))</f>
        <v/>
      </c>
      <c r="K78" s="14" t="inlineStr">
        <is>
          <t>Not Started</t>
        </is>
      </c>
      <c r="L78" s="14" t="inlineStr"/>
      <c r="M78" s="14" t="inlineStr"/>
      <c r="N78" s="14" t="inlineStr"/>
      <c r="O78" s="15">
        <f>IF(H78="NOT MET","Yes","No")</f>
        <v/>
      </c>
    </row>
    <row r="79">
      <c r="A79" s="13" t="inlineStr">
        <is>
          <t>PS</t>
        </is>
      </c>
      <c r="B79" s="13" t="inlineStr">
        <is>
          <t>PS.L2-3.9.2</t>
        </is>
      </c>
      <c r="C79" s="13" t="inlineStr">
        <is>
          <t>Personnel Actions</t>
        </is>
      </c>
      <c r="D79" s="13" t="inlineStr">
        <is>
          <t>Ensure that organizational systems containing CUI are protected during and after personnel actions such as terminations and transfers.</t>
        </is>
      </c>
      <c r="E79" s="13" t="n">
        <v>185</v>
      </c>
      <c r="F79" s="13" t="n">
        <v>187</v>
      </c>
      <c r="G79" s="14" t="inlineStr">
        <is>
          <t>Yes</t>
        </is>
      </c>
      <c r="H79" s="14" t="inlineStr">
        <is>
          <t>NOT ASSESSED</t>
        </is>
      </c>
      <c r="I79" s="13" t="n">
        <v>1</v>
      </c>
      <c r="J79" s="15">
        <f>IF(OR(H79="MET",H79="NOT APPLICABLE"),0,IF(H79="NOT MET",I79,0))</f>
        <v/>
      </c>
      <c r="K79" s="14" t="inlineStr">
        <is>
          <t>Not Started</t>
        </is>
      </c>
      <c r="L79" s="14" t="inlineStr"/>
      <c r="M79" s="14" t="inlineStr"/>
      <c r="N79" s="14" t="inlineStr"/>
      <c r="O79" s="15">
        <f>IF(H79="NOT MET","Yes","No")</f>
        <v/>
      </c>
    </row>
    <row r="80">
      <c r="A80" s="13" t="inlineStr">
        <is>
          <t>PE</t>
        </is>
      </c>
      <c r="B80" s="13" t="inlineStr">
        <is>
          <t>PE.L2-3.10.1</t>
        </is>
      </c>
      <c r="C80" s="13" t="inlineStr">
        <is>
          <t>Limit Physical Access [CUI Data]</t>
        </is>
      </c>
      <c r="D80" s="13" t="inlineStr">
        <is>
          <t>Limit physical access to organizational systems, equipment, and the respective operating environments to authorized individuals.</t>
        </is>
      </c>
      <c r="E80" s="13" t="n">
        <v>188</v>
      </c>
      <c r="F80" s="13" t="n">
        <v>189</v>
      </c>
      <c r="G80" s="14" t="inlineStr">
        <is>
          <t>Yes</t>
        </is>
      </c>
      <c r="H80" s="14" t="inlineStr">
        <is>
          <t>NOT ASSESSED</t>
        </is>
      </c>
      <c r="I80" s="13" t="n">
        <v>1</v>
      </c>
      <c r="J80" s="15">
        <f>IF(OR(H80="MET",H80="NOT APPLICABLE"),0,IF(H80="NOT MET",I80,0))</f>
        <v/>
      </c>
      <c r="K80" s="14" t="inlineStr">
        <is>
          <t>Not Started</t>
        </is>
      </c>
      <c r="L80" s="14" t="inlineStr"/>
      <c r="M80" s="14" t="inlineStr"/>
      <c r="N80" s="14" t="inlineStr"/>
      <c r="O80" s="15">
        <f>IF(H80="NOT MET","Yes","No")</f>
        <v/>
      </c>
    </row>
    <row r="81">
      <c r="A81" s="13" t="inlineStr">
        <is>
          <t>PE</t>
        </is>
      </c>
      <c r="B81" s="13" t="inlineStr">
        <is>
          <t>PE.L2-3.10.2</t>
        </is>
      </c>
      <c r="C81" s="13" t="inlineStr">
        <is>
          <t>Monitor Facility</t>
        </is>
      </c>
      <c r="D81" s="13" t="inlineStr">
        <is>
          <t>Protect and monitor the physical facility and support infrastructure for organizational systems.</t>
        </is>
      </c>
      <c r="E81" s="13" t="n">
        <v>190</v>
      </c>
      <c r="F81" s="13" t="n">
        <v>191</v>
      </c>
      <c r="G81" s="14" t="inlineStr">
        <is>
          <t>Yes</t>
        </is>
      </c>
      <c r="H81" s="14" t="inlineStr">
        <is>
          <t>NOT ASSESSED</t>
        </is>
      </c>
      <c r="I81" s="13" t="n">
        <v>1</v>
      </c>
      <c r="J81" s="15">
        <f>IF(OR(H81="MET",H81="NOT APPLICABLE"),0,IF(H81="NOT MET",I81,0))</f>
        <v/>
      </c>
      <c r="K81" s="14" t="inlineStr">
        <is>
          <t>Not Started</t>
        </is>
      </c>
      <c r="L81" s="14" t="inlineStr"/>
      <c r="M81" s="14" t="inlineStr"/>
      <c r="N81" s="14" t="inlineStr"/>
      <c r="O81" s="15">
        <f>IF(H81="NOT MET","Yes","No")</f>
        <v/>
      </c>
    </row>
    <row r="82">
      <c r="A82" s="13" t="inlineStr">
        <is>
          <t>PE</t>
        </is>
      </c>
      <c r="B82" s="13" t="inlineStr">
        <is>
          <t>PE.L2-3.10.3</t>
        </is>
      </c>
      <c r="C82" s="13" t="inlineStr">
        <is>
          <t>Escort Visitors [CUI Data]</t>
        </is>
      </c>
      <c r="D82" s="13" t="inlineStr">
        <is>
          <t>Escort visitors and monitor visitor activity.</t>
        </is>
      </c>
      <c r="E82" s="13" t="n">
        <v>192</v>
      </c>
      <c r="F82" s="13" t="n">
        <v>193</v>
      </c>
      <c r="G82" s="14" t="inlineStr">
        <is>
          <t>Yes</t>
        </is>
      </c>
      <c r="H82" s="14" t="inlineStr">
        <is>
          <t>NOT ASSESSED</t>
        </is>
      </c>
      <c r="I82" s="13" t="n">
        <v>1</v>
      </c>
      <c r="J82" s="15">
        <f>IF(OR(H82="MET",H82="NOT APPLICABLE"),0,IF(H82="NOT MET",I82,0))</f>
        <v/>
      </c>
      <c r="K82" s="14" t="inlineStr">
        <is>
          <t>Not Started</t>
        </is>
      </c>
      <c r="L82" s="14" t="inlineStr"/>
      <c r="M82" s="14" t="inlineStr"/>
      <c r="N82" s="14" t="inlineStr"/>
      <c r="O82" s="15">
        <f>IF(H82="NOT MET","Yes","No")</f>
        <v/>
      </c>
    </row>
    <row r="83">
      <c r="A83" s="13" t="inlineStr">
        <is>
          <t>PE</t>
        </is>
      </c>
      <c r="B83" s="13" t="inlineStr">
        <is>
          <t>PE.L2-3.10.4</t>
        </is>
      </c>
      <c r="C83" s="13" t="inlineStr">
        <is>
          <t>Physical Access Logs [CUI Data]</t>
        </is>
      </c>
      <c r="D83" s="13" t="inlineStr">
        <is>
          <t>Maintain audit logs of physical access.</t>
        </is>
      </c>
      <c r="E83" s="13" t="n">
        <v>194</v>
      </c>
      <c r="F83" s="13" t="n">
        <v>195</v>
      </c>
      <c r="G83" s="14" t="inlineStr">
        <is>
          <t>Yes</t>
        </is>
      </c>
      <c r="H83" s="14" t="inlineStr">
        <is>
          <t>NOT ASSESSED</t>
        </is>
      </c>
      <c r="I83" s="13" t="n">
        <v>1</v>
      </c>
      <c r="J83" s="15">
        <f>IF(OR(H83="MET",H83="NOT APPLICABLE"),0,IF(H83="NOT MET",I83,0))</f>
        <v/>
      </c>
      <c r="K83" s="14" t="inlineStr">
        <is>
          <t>Not Started</t>
        </is>
      </c>
      <c r="L83" s="14" t="inlineStr"/>
      <c r="M83" s="14" t="inlineStr"/>
      <c r="N83" s="14" t="inlineStr"/>
      <c r="O83" s="15">
        <f>IF(H83="NOT MET","Yes","No")</f>
        <v/>
      </c>
    </row>
    <row r="84">
      <c r="A84" s="13" t="inlineStr">
        <is>
          <t>PE</t>
        </is>
      </c>
      <c r="B84" s="13" t="inlineStr">
        <is>
          <t>PE.L2-3.10.5</t>
        </is>
      </c>
      <c r="C84" s="13" t="inlineStr">
        <is>
          <t>Manage Physical Access [CUI Data]</t>
        </is>
      </c>
      <c r="D84" s="13" t="inlineStr">
        <is>
          <t>Control and manage physical access devices.</t>
        </is>
      </c>
      <c r="E84" s="13" t="n">
        <v>196</v>
      </c>
      <c r="F84" s="13" t="n">
        <v>197</v>
      </c>
      <c r="G84" s="14" t="inlineStr">
        <is>
          <t>Yes</t>
        </is>
      </c>
      <c r="H84" s="14" t="inlineStr">
        <is>
          <t>NOT ASSESSED</t>
        </is>
      </c>
      <c r="I84" s="13" t="n">
        <v>1</v>
      </c>
      <c r="J84" s="15">
        <f>IF(OR(H84="MET",H84="NOT APPLICABLE"),0,IF(H84="NOT MET",I84,0))</f>
        <v/>
      </c>
      <c r="K84" s="14" t="inlineStr">
        <is>
          <t>Not Started</t>
        </is>
      </c>
      <c r="L84" s="14" t="inlineStr"/>
      <c r="M84" s="14" t="inlineStr"/>
      <c r="N84" s="14" t="inlineStr"/>
      <c r="O84" s="15">
        <f>IF(H84="NOT MET","Yes","No")</f>
        <v/>
      </c>
    </row>
    <row r="85">
      <c r="A85" s="13" t="inlineStr">
        <is>
          <t>PE</t>
        </is>
      </c>
      <c r="B85" s="13" t="inlineStr">
        <is>
          <t>PE.L2-3.10.6</t>
        </is>
      </c>
      <c r="C85" s="13" t="inlineStr">
        <is>
          <t>Alternative Work Sites</t>
        </is>
      </c>
      <c r="D85" s="13" t="inlineStr">
        <is>
          <t>Enforce safeguarding measures for CUI at alternate work sites.</t>
        </is>
      </c>
      <c r="E85" s="13" t="n">
        <v>198</v>
      </c>
      <c r="F85" s="13" t="n">
        <v>199</v>
      </c>
      <c r="G85" s="14" t="inlineStr">
        <is>
          <t>Yes</t>
        </is>
      </c>
      <c r="H85" s="14" t="inlineStr">
        <is>
          <t>NOT ASSESSED</t>
        </is>
      </c>
      <c r="I85" s="13" t="n">
        <v>1</v>
      </c>
      <c r="J85" s="15">
        <f>IF(OR(H85="MET",H85="NOT APPLICABLE"),0,IF(H85="NOT MET",I85,0))</f>
        <v/>
      </c>
      <c r="K85" s="14" t="inlineStr">
        <is>
          <t>Not Started</t>
        </is>
      </c>
      <c r="L85" s="14" t="inlineStr"/>
      <c r="M85" s="14" t="inlineStr"/>
      <c r="N85" s="14" t="inlineStr"/>
      <c r="O85" s="15">
        <f>IF(H85="NOT MET","Yes","No")</f>
        <v/>
      </c>
    </row>
    <row r="86">
      <c r="A86" s="13" t="inlineStr">
        <is>
          <t>RA</t>
        </is>
      </c>
      <c r="B86" s="13" t="inlineStr">
        <is>
          <t>RA.L2-3.11.1</t>
        </is>
      </c>
      <c r="C86" s="13" t="inlineStr">
        <is>
          <t>RIsk Assessments</t>
        </is>
      </c>
      <c r="D86" s="13" t="inlineStr">
        <is>
          <t>Periodically assess the risk to organizational operations (including mission, functions, image, or reputation), organizational assets, and individuals, resulting from the operation of organizational systems and the associated processing, storage, or transmission of CUI.</t>
        </is>
      </c>
      <c r="E86" s="13" t="n">
        <v>200</v>
      </c>
      <c r="F86" s="13" t="n">
        <v>202</v>
      </c>
      <c r="G86" s="14" t="inlineStr">
        <is>
          <t>Yes</t>
        </is>
      </c>
      <c r="H86" s="14" t="inlineStr">
        <is>
          <t>NOT ASSESSED</t>
        </is>
      </c>
      <c r="I86" s="13" t="n">
        <v>1</v>
      </c>
      <c r="J86" s="15">
        <f>IF(OR(H86="MET",H86="NOT APPLICABLE"),0,IF(H86="NOT MET",I86,0))</f>
        <v/>
      </c>
      <c r="K86" s="14" t="inlineStr">
        <is>
          <t>Not Started</t>
        </is>
      </c>
      <c r="L86" s="14" t="inlineStr"/>
      <c r="M86" s="14" t="inlineStr"/>
      <c r="N86" s="14" t="inlineStr"/>
      <c r="O86" s="15">
        <f>IF(H86="NOT MET","Yes","No")</f>
        <v/>
      </c>
    </row>
    <row r="87">
      <c r="A87" s="13" t="inlineStr">
        <is>
          <t>RA</t>
        </is>
      </c>
      <c r="B87" s="13" t="inlineStr">
        <is>
          <t>RA.L2-3.11.2</t>
        </is>
      </c>
      <c r="C87" s="13" t="inlineStr">
        <is>
          <t>Vulnerability Scan</t>
        </is>
      </c>
      <c r="D87" s="13" t="inlineStr">
        <is>
          <t>Scan for vulnerabilities in organizational systems and applications periodically and when new vulnerabilities affecting those systems and applications are identified.</t>
        </is>
      </c>
      <c r="E87" s="13" t="n">
        <v>203</v>
      </c>
      <c r="F87" s="13" t="n">
        <v>205</v>
      </c>
      <c r="G87" s="14" t="inlineStr">
        <is>
          <t>Yes</t>
        </is>
      </c>
      <c r="H87" s="14" t="inlineStr">
        <is>
          <t>NOT ASSESSED</t>
        </is>
      </c>
      <c r="I87" s="13" t="n">
        <v>1</v>
      </c>
      <c r="J87" s="15">
        <f>IF(OR(H87="MET",H87="NOT APPLICABLE"),0,IF(H87="NOT MET",I87,0))</f>
        <v/>
      </c>
      <c r="K87" s="14" t="inlineStr">
        <is>
          <t>Not Started</t>
        </is>
      </c>
      <c r="L87" s="14" t="inlineStr"/>
      <c r="M87" s="14" t="inlineStr"/>
      <c r="N87" s="14" t="inlineStr"/>
      <c r="O87" s="15">
        <f>IF(H87="NOT MET","Yes","No")</f>
        <v/>
      </c>
    </row>
    <row r="88">
      <c r="A88" s="13" t="inlineStr">
        <is>
          <t>RA</t>
        </is>
      </c>
      <c r="B88" s="13" t="inlineStr">
        <is>
          <t>RA.L2-3.11.3</t>
        </is>
      </c>
      <c r="C88" s="13" t="inlineStr">
        <is>
          <t>Vulnerability Remediation</t>
        </is>
      </c>
      <c r="D88" s="13" t="inlineStr">
        <is>
          <t>Remediate vulnerabilities in accordance with risk assessments.</t>
        </is>
      </c>
      <c r="E88" s="13" t="n">
        <v>206</v>
      </c>
      <c r="F88" s="13" t="n">
        <v>207</v>
      </c>
      <c r="G88" s="14" t="inlineStr">
        <is>
          <t>Yes</t>
        </is>
      </c>
      <c r="H88" s="14" t="inlineStr">
        <is>
          <t>NOT ASSESSED</t>
        </is>
      </c>
      <c r="I88" s="13" t="n">
        <v>1</v>
      </c>
      <c r="J88" s="15">
        <f>IF(OR(H88="MET",H88="NOT APPLICABLE"),0,IF(H88="NOT MET",I88,0))</f>
        <v/>
      </c>
      <c r="K88" s="14" t="inlineStr">
        <is>
          <t>Not Started</t>
        </is>
      </c>
      <c r="L88" s="14" t="inlineStr"/>
      <c r="M88" s="14" t="inlineStr"/>
      <c r="N88" s="14" t="inlineStr"/>
      <c r="O88" s="15">
        <f>IF(H88="NOT MET","Yes","No")</f>
        <v/>
      </c>
    </row>
    <row r="89">
      <c r="A89" s="13" t="inlineStr">
        <is>
          <t>CA</t>
        </is>
      </c>
      <c r="B89" s="13" t="inlineStr">
        <is>
          <t>CA.L2-3.12.1</t>
        </is>
      </c>
      <c r="C89" s="13" t="inlineStr">
        <is>
          <t>Security Control Assessment</t>
        </is>
      </c>
      <c r="D89" s="13" t="inlineStr">
        <is>
          <t>Periodically assess the security controls in organizational systems to determine if the controls are effective in their application.</t>
        </is>
      </c>
      <c r="E89" s="13" t="n">
        <v>208</v>
      </c>
      <c r="F89" s="13" t="n">
        <v>210</v>
      </c>
      <c r="G89" s="14" t="inlineStr">
        <is>
          <t>Yes</t>
        </is>
      </c>
      <c r="H89" s="14" t="inlineStr">
        <is>
          <t>NOT ASSESSED</t>
        </is>
      </c>
      <c r="I89" s="13" t="n">
        <v>1</v>
      </c>
      <c r="J89" s="15">
        <f>IF(OR(H89="MET",H89="NOT APPLICABLE"),0,IF(H89="NOT MET",I89,0))</f>
        <v/>
      </c>
      <c r="K89" s="14" t="inlineStr">
        <is>
          <t>Not Started</t>
        </is>
      </c>
      <c r="L89" s="14" t="inlineStr"/>
      <c r="M89" s="14" t="inlineStr"/>
      <c r="N89" s="14" t="inlineStr"/>
      <c r="O89" s="15">
        <f>IF(H89="NOT MET","Yes","No")</f>
        <v/>
      </c>
    </row>
    <row r="90">
      <c r="A90" s="13" t="inlineStr">
        <is>
          <t>CA</t>
        </is>
      </c>
      <c r="B90" s="13" t="inlineStr">
        <is>
          <t>CA.L2-3.12.2</t>
        </is>
      </c>
      <c r="C90" s="13" t="inlineStr">
        <is>
          <t>operational Plan of Action</t>
        </is>
      </c>
      <c r="D90" s="13" t="inlineStr">
        <is>
          <t>Develop and implement plans of action designed to correct deficiencies and reduce or eliminate vulnerabilities in organizational systems.</t>
        </is>
      </c>
      <c r="E90" s="13" t="n">
        <v>211</v>
      </c>
      <c r="F90" s="13" t="n">
        <v>213</v>
      </c>
      <c r="G90" s="14" t="inlineStr">
        <is>
          <t>Yes</t>
        </is>
      </c>
      <c r="H90" s="14" t="inlineStr">
        <is>
          <t>NOT ASSESSED</t>
        </is>
      </c>
      <c r="I90" s="13" t="n">
        <v>1</v>
      </c>
      <c r="J90" s="15">
        <f>IF(OR(H90="MET",H90="NOT APPLICABLE"),0,IF(H90="NOT MET",I90,0))</f>
        <v/>
      </c>
      <c r="K90" s="14" t="inlineStr">
        <is>
          <t>Not Started</t>
        </is>
      </c>
      <c r="L90" s="14" t="inlineStr"/>
      <c r="M90" s="14" t="inlineStr"/>
      <c r="N90" s="14" t="inlineStr"/>
      <c r="O90" s="15">
        <f>IF(H90="NOT MET","Yes","No")</f>
        <v/>
      </c>
    </row>
    <row r="91">
      <c r="A91" s="13" t="inlineStr">
        <is>
          <t>CA</t>
        </is>
      </c>
      <c r="B91" s="13" t="inlineStr">
        <is>
          <t>CA.L2-3.12.3</t>
        </is>
      </c>
      <c r="C91" s="13" t="inlineStr">
        <is>
          <t>Security Control Monitoring</t>
        </is>
      </c>
      <c r="D91" s="13" t="inlineStr">
        <is>
          <t>Monitor security controls on an ongoing basis to ensure the continued effectiveness of the controls.</t>
        </is>
      </c>
      <c r="E91" s="13" t="n">
        <v>214</v>
      </c>
      <c r="F91" s="13" t="n">
        <v>215</v>
      </c>
      <c r="G91" s="14" t="inlineStr">
        <is>
          <t>Yes</t>
        </is>
      </c>
      <c r="H91" s="14" t="inlineStr">
        <is>
          <t>NOT ASSESSED</t>
        </is>
      </c>
      <c r="I91" s="13" t="n">
        <v>1</v>
      </c>
      <c r="J91" s="15">
        <f>IF(OR(H91="MET",H91="NOT APPLICABLE"),0,IF(H91="NOT MET",I91,0))</f>
        <v/>
      </c>
      <c r="K91" s="14" t="inlineStr">
        <is>
          <t>Not Started</t>
        </is>
      </c>
      <c r="L91" s="14" t="inlineStr"/>
      <c r="M91" s="14" t="inlineStr"/>
      <c r="N91" s="14" t="inlineStr"/>
      <c r="O91" s="15">
        <f>IF(H91="NOT MET","Yes","No")</f>
        <v/>
      </c>
    </row>
    <row r="92">
      <c r="A92" s="13" t="inlineStr">
        <is>
          <t>CA</t>
        </is>
      </c>
      <c r="B92" s="13" t="inlineStr">
        <is>
          <t>CA.L2-3.12.4</t>
        </is>
      </c>
      <c r="C92" s="13" t="inlineStr">
        <is>
          <t>System Security Plan</t>
        </is>
      </c>
      <c r="D92" s="13" t="inlineStr">
        <is>
          <t>Develop, document, and periodically update system security plans that describe system boundaries, system environments of operation, how security requirements are implemented, and the relationships with or connections to other systems.</t>
        </is>
      </c>
      <c r="E92" s="13" t="n">
        <v>216</v>
      </c>
      <c r="F92" s="13" t="n">
        <v>218</v>
      </c>
      <c r="G92" s="14" t="inlineStr">
        <is>
          <t>Yes</t>
        </is>
      </c>
      <c r="H92" s="14" t="inlineStr">
        <is>
          <t>NOT ASSESSED</t>
        </is>
      </c>
      <c r="I92" s="13" t="n">
        <v>1</v>
      </c>
      <c r="J92" s="15">
        <f>IF(OR(H92="MET",H92="NOT APPLICABLE"),0,IF(H92="NOT MET",I92,0))</f>
        <v/>
      </c>
      <c r="K92" s="14" t="inlineStr">
        <is>
          <t>Not Started</t>
        </is>
      </c>
      <c r="L92" s="14" t="inlineStr"/>
      <c r="M92" s="14" t="inlineStr"/>
      <c r="N92" s="14" t="inlineStr"/>
      <c r="O92" s="15">
        <f>IF(H92="NOT MET","Yes","No")</f>
        <v/>
      </c>
    </row>
    <row r="93">
      <c r="A93" s="13" t="inlineStr">
        <is>
          <t>SC</t>
        </is>
      </c>
      <c r="B93" s="13" t="inlineStr">
        <is>
          <t>SC.L2-3.13.1</t>
        </is>
      </c>
      <c r="C93" s="13" t="inlineStr">
        <is>
          <t>Boundary Protection [CUI Data]</t>
        </is>
      </c>
      <c r="D93" s="13" t="inlineStr">
        <is>
          <t>Monitor, control, and protect communications (i.e., information transmitted or received by organizational systems) at the external boundaries and key internal boundaries of organizational systems.</t>
        </is>
      </c>
      <c r="E93" s="13" t="n">
        <v>219</v>
      </c>
      <c r="F93" s="13" t="n">
        <v>221</v>
      </c>
      <c r="G93" s="14" t="inlineStr">
        <is>
          <t>Yes</t>
        </is>
      </c>
      <c r="H93" s="14" t="inlineStr">
        <is>
          <t>NOT ASSESSED</t>
        </is>
      </c>
      <c r="I93" s="13" t="n">
        <v>1</v>
      </c>
      <c r="J93" s="15">
        <f>IF(OR(H93="MET",H93="NOT APPLICABLE"),0,IF(H93="NOT MET",I93,0))</f>
        <v/>
      </c>
      <c r="K93" s="14" t="inlineStr">
        <is>
          <t>Not Started</t>
        </is>
      </c>
      <c r="L93" s="14" t="inlineStr"/>
      <c r="M93" s="14" t="inlineStr"/>
      <c r="N93" s="14" t="inlineStr"/>
      <c r="O93" s="15">
        <f>IF(H93="NOT MET","Yes","No")</f>
        <v/>
      </c>
    </row>
    <row r="94">
      <c r="A94" s="13" t="inlineStr">
        <is>
          <t>SC</t>
        </is>
      </c>
      <c r="B94" s="13" t="inlineStr">
        <is>
          <t>SC.L2-3.13.2</t>
        </is>
      </c>
      <c r="C94" s="13" t="inlineStr">
        <is>
          <t>Security Engineering</t>
        </is>
      </c>
      <c r="D94" s="13" t="inlineStr">
        <is>
          <t>Employ architectural designs, software development techniques, and systems engineering principles that promote effective information security within organizational systems.</t>
        </is>
      </c>
      <c r="E94" s="13" t="n">
        <v>222</v>
      </c>
      <c r="F94" s="13" t="n">
        <v>224</v>
      </c>
      <c r="G94" s="14" t="inlineStr">
        <is>
          <t>Yes</t>
        </is>
      </c>
      <c r="H94" s="14" t="inlineStr">
        <is>
          <t>NOT ASSESSED</t>
        </is>
      </c>
      <c r="I94" s="13" t="n">
        <v>1</v>
      </c>
      <c r="J94" s="15">
        <f>IF(OR(H94="MET",H94="NOT APPLICABLE"),0,IF(H94="NOT MET",I94,0))</f>
        <v/>
      </c>
      <c r="K94" s="14" t="inlineStr">
        <is>
          <t>Not Started</t>
        </is>
      </c>
      <c r="L94" s="14" t="inlineStr"/>
      <c r="M94" s="14" t="inlineStr"/>
      <c r="N94" s="14" t="inlineStr"/>
      <c r="O94" s="15">
        <f>IF(H94="NOT MET","Yes","No")</f>
        <v/>
      </c>
    </row>
    <row r="95">
      <c r="A95" s="13" t="inlineStr">
        <is>
          <t>SC</t>
        </is>
      </c>
      <c r="B95" s="13" t="inlineStr">
        <is>
          <t>SC.L2-3.13.3</t>
        </is>
      </c>
      <c r="C95" s="13" t="inlineStr">
        <is>
          <t>Role Separation</t>
        </is>
      </c>
      <c r="D95" s="13" t="inlineStr">
        <is>
          <t>Separate user functionality from system management functionality.</t>
        </is>
      </c>
      <c r="E95" s="13" t="n">
        <v>225</v>
      </c>
      <c r="F95" s="13" t="n">
        <v>226</v>
      </c>
      <c r="G95" s="14" t="inlineStr">
        <is>
          <t>Yes</t>
        </is>
      </c>
      <c r="H95" s="14" t="inlineStr">
        <is>
          <t>NOT ASSESSED</t>
        </is>
      </c>
      <c r="I95" s="13" t="n">
        <v>1</v>
      </c>
      <c r="J95" s="15">
        <f>IF(OR(H95="MET",H95="NOT APPLICABLE"),0,IF(H95="NOT MET",I95,0))</f>
        <v/>
      </c>
      <c r="K95" s="14" t="inlineStr">
        <is>
          <t>Not Started</t>
        </is>
      </c>
      <c r="L95" s="14" t="inlineStr"/>
      <c r="M95" s="14" t="inlineStr"/>
      <c r="N95" s="14" t="inlineStr"/>
      <c r="O95" s="15">
        <f>IF(H95="NOT MET","Yes","No")</f>
        <v/>
      </c>
    </row>
    <row r="96">
      <c r="A96" s="13" t="inlineStr">
        <is>
          <t>SC</t>
        </is>
      </c>
      <c r="B96" s="13" t="inlineStr">
        <is>
          <t>SC.L2-3.13.4</t>
        </is>
      </c>
      <c r="C96" s="13" t="inlineStr">
        <is>
          <t>Shared Resource Control</t>
        </is>
      </c>
      <c r="D96" s="13" t="inlineStr">
        <is>
          <t>Prevent unauthorized and unintended information transfer via shared system resources.</t>
        </is>
      </c>
      <c r="E96" s="13" t="n">
        <v>227</v>
      </c>
      <c r="F96" s="13" t="n">
        <v>228</v>
      </c>
      <c r="G96" s="14" t="inlineStr">
        <is>
          <t>Yes</t>
        </is>
      </c>
      <c r="H96" s="14" t="inlineStr">
        <is>
          <t>NOT ASSESSED</t>
        </is>
      </c>
      <c r="I96" s="13" t="n">
        <v>1</v>
      </c>
      <c r="J96" s="15">
        <f>IF(OR(H96="MET",H96="NOT APPLICABLE"),0,IF(H96="NOT MET",I96,0))</f>
        <v/>
      </c>
      <c r="K96" s="14" t="inlineStr">
        <is>
          <t>Not Started</t>
        </is>
      </c>
      <c r="L96" s="14" t="inlineStr"/>
      <c r="M96" s="14" t="inlineStr"/>
      <c r="N96" s="14" t="inlineStr"/>
      <c r="O96" s="15">
        <f>IF(H96="NOT MET","Yes","No")</f>
        <v/>
      </c>
    </row>
    <row r="97">
      <c r="A97" s="13" t="inlineStr">
        <is>
          <t>SC</t>
        </is>
      </c>
      <c r="B97" s="13" t="inlineStr">
        <is>
          <t>SC.L2-3.13.5</t>
        </is>
      </c>
      <c r="C97" s="13" t="inlineStr">
        <is>
          <t>Public-Access System Separation [CUI Data]</t>
        </is>
      </c>
      <c r="D97" s="13" t="inlineStr">
        <is>
          <t>Implement subnetworks for publicly accessible system components that are physically or logically separated from internal networks.</t>
        </is>
      </c>
      <c r="E97" s="13" t="n">
        <v>229</v>
      </c>
      <c r="F97" s="13" t="n">
        <v>230</v>
      </c>
      <c r="G97" s="14" t="inlineStr">
        <is>
          <t>Yes</t>
        </is>
      </c>
      <c r="H97" s="14" t="inlineStr">
        <is>
          <t>NOT ASSESSED</t>
        </is>
      </c>
      <c r="I97" s="13" t="n">
        <v>1</v>
      </c>
      <c r="J97" s="15">
        <f>IF(OR(H97="MET",H97="NOT APPLICABLE"),0,IF(H97="NOT MET",I97,0))</f>
        <v/>
      </c>
      <c r="K97" s="14" t="inlineStr">
        <is>
          <t>Not Started</t>
        </is>
      </c>
      <c r="L97" s="14" t="inlineStr"/>
      <c r="M97" s="14" t="inlineStr"/>
      <c r="N97" s="14" t="inlineStr"/>
      <c r="O97" s="15">
        <f>IF(H97="NOT MET","Yes","No")</f>
        <v/>
      </c>
    </row>
    <row r="98">
      <c r="A98" s="13" t="inlineStr">
        <is>
          <t>SC</t>
        </is>
      </c>
      <c r="B98" s="13" t="inlineStr">
        <is>
          <t>SC.L2-3.13.6</t>
        </is>
      </c>
      <c r="C98" s="13" t="inlineStr">
        <is>
          <t>Network Communication by Exception</t>
        </is>
      </c>
      <c r="D98" s="13" t="inlineStr">
        <is>
          <t>Deny network communications traffic by default and allow network communications traffic by exception (i.e., deny all, permit by exception).</t>
        </is>
      </c>
      <c r="E98" s="13" t="n">
        <v>231</v>
      </c>
      <c r="F98" s="13" t="n">
        <v>232</v>
      </c>
      <c r="G98" s="14" t="inlineStr">
        <is>
          <t>Yes</t>
        </is>
      </c>
      <c r="H98" s="14" t="inlineStr">
        <is>
          <t>NOT ASSESSED</t>
        </is>
      </c>
      <c r="I98" s="13" t="n">
        <v>1</v>
      </c>
      <c r="J98" s="15">
        <f>IF(OR(H98="MET",H98="NOT APPLICABLE"),0,IF(H98="NOT MET",I98,0))</f>
        <v/>
      </c>
      <c r="K98" s="14" t="inlineStr">
        <is>
          <t>Not Started</t>
        </is>
      </c>
      <c r="L98" s="14" t="inlineStr"/>
      <c r="M98" s="14" t="inlineStr"/>
      <c r="N98" s="14" t="inlineStr"/>
      <c r="O98" s="15">
        <f>IF(H98="NOT MET","Yes","No")</f>
        <v/>
      </c>
    </row>
    <row r="99">
      <c r="A99" s="13" t="inlineStr">
        <is>
          <t>SC</t>
        </is>
      </c>
      <c r="B99" s="13" t="inlineStr">
        <is>
          <t>SC.L2-3.13.7</t>
        </is>
      </c>
      <c r="C99" s="13" t="inlineStr">
        <is>
          <t>Split Tunneling</t>
        </is>
      </c>
      <c r="D99" s="13" t="inlineStr">
        <is>
          <t>Prevent remote devices from simultaneously establishing non- remote connections with organizational systems and communicating via some other connection to resources in external networks (i.e., split tunneling).</t>
        </is>
      </c>
      <c r="E99" s="13" t="n">
        <v>233</v>
      </c>
      <c r="F99" s="13" t="n">
        <v>234</v>
      </c>
      <c r="G99" s="14" t="inlineStr">
        <is>
          <t>Yes</t>
        </is>
      </c>
      <c r="H99" s="14" t="inlineStr">
        <is>
          <t>NOT ASSESSED</t>
        </is>
      </c>
      <c r="I99" s="13" t="n">
        <v>1</v>
      </c>
      <c r="J99" s="15">
        <f>IF(OR(H99="MET",H99="NOT APPLICABLE"),0,IF(H99="NOT MET",I99,0))</f>
        <v/>
      </c>
      <c r="K99" s="14" t="inlineStr">
        <is>
          <t>Not Started</t>
        </is>
      </c>
      <c r="L99" s="14" t="inlineStr"/>
      <c r="M99" s="14" t="inlineStr"/>
      <c r="N99" s="14" t="inlineStr"/>
      <c r="O99" s="15">
        <f>IF(H99="NOT MET","Yes","No")</f>
        <v/>
      </c>
    </row>
    <row r="100">
      <c r="A100" s="13" t="inlineStr">
        <is>
          <t>SC</t>
        </is>
      </c>
      <c r="B100" s="13" t="inlineStr">
        <is>
          <t>SC.L2-3.13.8</t>
        </is>
      </c>
      <c r="C100" s="13" t="inlineStr">
        <is>
          <t>Data in Transit</t>
        </is>
      </c>
      <c r="D100" s="13" t="inlineStr">
        <is>
          <t>Implement cryptographic mechanisms to prevent unauthorized disclosure of CUI during transmission unless otherwise protected by alternative physical safeguards.</t>
        </is>
      </c>
      <c r="E100" s="13" t="n">
        <v>235</v>
      </c>
      <c r="F100" s="13" t="n">
        <v>236</v>
      </c>
      <c r="G100" s="14" t="inlineStr">
        <is>
          <t>Yes</t>
        </is>
      </c>
      <c r="H100" s="14" t="inlineStr">
        <is>
          <t>NOT ASSESSED</t>
        </is>
      </c>
      <c r="I100" s="13" t="n">
        <v>1</v>
      </c>
      <c r="J100" s="15">
        <f>IF(OR(H100="MET",H100="NOT APPLICABLE"),0,IF(H100="NOT MET",I100,0))</f>
        <v/>
      </c>
      <c r="K100" s="14" t="inlineStr">
        <is>
          <t>Not Started</t>
        </is>
      </c>
      <c r="L100" s="14" t="inlineStr"/>
      <c r="M100" s="14" t="inlineStr"/>
      <c r="N100" s="14" t="inlineStr"/>
      <c r="O100" s="15">
        <f>IF(H100="NOT MET","Yes","No")</f>
        <v/>
      </c>
    </row>
    <row r="101">
      <c r="A101" s="13" t="inlineStr">
        <is>
          <t>SC</t>
        </is>
      </c>
      <c r="B101" s="13" t="inlineStr">
        <is>
          <t>SC.L2-3.13.9</t>
        </is>
      </c>
      <c r="C101" s="13" t="inlineStr">
        <is>
          <t>Connections Termination</t>
        </is>
      </c>
      <c r="D101" s="13" t="inlineStr">
        <is>
          <t>Terminate network connections associated with communications sessions at the end of the sessions or after a defined period of inactivity.</t>
        </is>
      </c>
      <c r="E101" s="13" t="n">
        <v>237</v>
      </c>
      <c r="F101" s="13" t="n">
        <v>238</v>
      </c>
      <c r="G101" s="14" t="inlineStr">
        <is>
          <t>Yes</t>
        </is>
      </c>
      <c r="H101" s="14" t="inlineStr">
        <is>
          <t>NOT ASSESSED</t>
        </is>
      </c>
      <c r="I101" s="13" t="n">
        <v>1</v>
      </c>
      <c r="J101" s="15">
        <f>IF(OR(H101="MET",H101="NOT APPLICABLE"),0,IF(H101="NOT MET",I101,0))</f>
        <v/>
      </c>
      <c r="K101" s="14" t="inlineStr">
        <is>
          <t>Not Started</t>
        </is>
      </c>
      <c r="L101" s="14" t="inlineStr"/>
      <c r="M101" s="14" t="inlineStr"/>
      <c r="N101" s="14" t="inlineStr"/>
      <c r="O101" s="15">
        <f>IF(H101="NOT MET","Yes","No")</f>
        <v/>
      </c>
    </row>
    <row r="102">
      <c r="A102" s="13" t="inlineStr">
        <is>
          <t>SC</t>
        </is>
      </c>
      <c r="B102" s="13" t="inlineStr">
        <is>
          <t>SC.L2-3.13.10</t>
        </is>
      </c>
      <c r="C102" s="13" t="inlineStr">
        <is>
          <t>Key Management</t>
        </is>
      </c>
      <c r="D102" s="13" t="inlineStr">
        <is>
          <t>Establish and manage cryptographic keys for cryptography employed in organizational systems.</t>
        </is>
      </c>
      <c r="E102" s="13" t="n">
        <v>239</v>
      </c>
      <c r="F102" s="13" t="n">
        <v>241</v>
      </c>
      <c r="G102" s="14" t="inlineStr">
        <is>
          <t>Yes</t>
        </is>
      </c>
      <c r="H102" s="14" t="inlineStr">
        <is>
          <t>NOT ASSESSED</t>
        </is>
      </c>
      <c r="I102" s="13" t="n">
        <v>1</v>
      </c>
      <c r="J102" s="15">
        <f>IF(OR(H102="MET",H102="NOT APPLICABLE"),0,IF(H102="NOT MET",I102,0))</f>
        <v/>
      </c>
      <c r="K102" s="14" t="inlineStr">
        <is>
          <t>Not Started</t>
        </is>
      </c>
      <c r="L102" s="14" t="inlineStr"/>
      <c r="M102" s="14" t="inlineStr"/>
      <c r="N102" s="14" t="inlineStr"/>
      <c r="O102" s="15">
        <f>IF(H102="NOT MET","Yes","No")</f>
        <v/>
      </c>
    </row>
    <row r="103">
      <c r="A103" s="13" t="inlineStr">
        <is>
          <t>SC</t>
        </is>
      </c>
      <c r="B103" s="13" t="inlineStr">
        <is>
          <t>SC.L2-3.13.11</t>
        </is>
      </c>
      <c r="C103" s="13" t="inlineStr">
        <is>
          <t>CUI Encryption</t>
        </is>
      </c>
      <c r="D103" s="13" t="inlineStr">
        <is>
          <t>Employ FIPS-validated cryptography when used to protect the confidentiality of CUI.</t>
        </is>
      </c>
      <c r="E103" s="13" t="n">
        <v>242</v>
      </c>
      <c r="F103" s="13" t="n">
        <v>243</v>
      </c>
      <c r="G103" s="14" t="inlineStr">
        <is>
          <t>Yes</t>
        </is>
      </c>
      <c r="H103" s="14" t="inlineStr">
        <is>
          <t>NOT ASSESSED</t>
        </is>
      </c>
      <c r="I103" s="13" t="n">
        <v>1</v>
      </c>
      <c r="J103" s="15">
        <f>IF(OR(H103="MET",H103="NOT APPLICABLE"),0,IF(H103="NOT MET",I103,0))</f>
        <v/>
      </c>
      <c r="K103" s="14" t="inlineStr">
        <is>
          <t>Not Started</t>
        </is>
      </c>
      <c r="L103" s="14" t="inlineStr"/>
      <c r="M103" s="14" t="inlineStr"/>
      <c r="N103" s="14" t="inlineStr"/>
      <c r="O103" s="15">
        <f>IF(H103="NOT MET","Yes","No")</f>
        <v/>
      </c>
    </row>
    <row r="104">
      <c r="A104" s="13" t="inlineStr">
        <is>
          <t>SC</t>
        </is>
      </c>
      <c r="B104" s="13" t="inlineStr">
        <is>
          <t>SC.L2-3.13.12</t>
        </is>
      </c>
      <c r="C104" s="13" t="inlineStr">
        <is>
          <t>Collaborative Device Control</t>
        </is>
      </c>
      <c r="D104" s="13" t="inlineStr">
        <is>
          <t>Prohibit remote activation of collaborative computing devices and provide indication of devices in use to users present at the device.</t>
        </is>
      </c>
      <c r="E104" s="13" t="n">
        <v>244</v>
      </c>
      <c r="F104" s="13" t="n">
        <v>245</v>
      </c>
      <c r="G104" s="14" t="inlineStr">
        <is>
          <t>Yes</t>
        </is>
      </c>
      <c r="H104" s="14" t="inlineStr">
        <is>
          <t>NOT ASSESSED</t>
        </is>
      </c>
      <c r="I104" s="13" t="n">
        <v>1</v>
      </c>
      <c r="J104" s="15">
        <f>IF(OR(H104="MET",H104="NOT APPLICABLE"),0,IF(H104="NOT MET",I104,0))</f>
        <v/>
      </c>
      <c r="K104" s="14" t="inlineStr">
        <is>
          <t>Not Started</t>
        </is>
      </c>
      <c r="L104" s="14" t="inlineStr"/>
      <c r="M104" s="14" t="inlineStr"/>
      <c r="N104" s="14" t="inlineStr"/>
      <c r="O104" s="15">
        <f>IF(H104="NOT MET","Yes","No")</f>
        <v/>
      </c>
    </row>
    <row r="105">
      <c r="A105" s="13" t="inlineStr">
        <is>
          <t>SC</t>
        </is>
      </c>
      <c r="B105" s="13" t="inlineStr">
        <is>
          <t>SC.L2-3.13.13</t>
        </is>
      </c>
      <c r="C105" s="13" t="inlineStr">
        <is>
          <t>Mobile Code</t>
        </is>
      </c>
      <c r="D105" s="13" t="inlineStr">
        <is>
          <t>Control and monitor the use of mobile code.</t>
        </is>
      </c>
      <c r="E105" s="13" t="n">
        <v>246</v>
      </c>
      <c r="F105" s="13" t="n">
        <v>247</v>
      </c>
      <c r="G105" s="14" t="inlineStr">
        <is>
          <t>Yes</t>
        </is>
      </c>
      <c r="H105" s="14" t="inlineStr">
        <is>
          <t>NOT ASSESSED</t>
        </is>
      </c>
      <c r="I105" s="13" t="n">
        <v>1</v>
      </c>
      <c r="J105" s="15">
        <f>IF(OR(H105="MET",H105="NOT APPLICABLE"),0,IF(H105="NOT MET",I105,0))</f>
        <v/>
      </c>
      <c r="K105" s="14" t="inlineStr">
        <is>
          <t>Not Started</t>
        </is>
      </c>
      <c r="L105" s="14" t="inlineStr"/>
      <c r="M105" s="14" t="inlineStr"/>
      <c r="N105" s="14" t="inlineStr"/>
      <c r="O105" s="15">
        <f>IF(H105="NOT MET","Yes","No")</f>
        <v/>
      </c>
    </row>
    <row r="106">
      <c r="A106" s="13" t="inlineStr">
        <is>
          <t>SC</t>
        </is>
      </c>
      <c r="B106" s="13" t="inlineStr">
        <is>
          <t>SC.L2-3.13.14</t>
        </is>
      </c>
      <c r="C106" s="13" t="inlineStr">
        <is>
          <t>Voice over Internet Protocol</t>
        </is>
      </c>
      <c r="D106" s="13" t="inlineStr">
        <is>
          <t>Control and monitor the use of Voice over Internet Protocol (VoIP) technologies.</t>
        </is>
      </c>
      <c r="E106" s="13" t="n">
        <v>248</v>
      </c>
      <c r="F106" s="13" t="n">
        <v>249</v>
      </c>
      <c r="G106" s="14" t="inlineStr">
        <is>
          <t>Yes</t>
        </is>
      </c>
      <c r="H106" s="14" t="inlineStr">
        <is>
          <t>NOT ASSESSED</t>
        </is>
      </c>
      <c r="I106" s="13" t="n">
        <v>1</v>
      </c>
      <c r="J106" s="15">
        <f>IF(OR(H106="MET",H106="NOT APPLICABLE"),0,IF(H106="NOT MET",I106,0))</f>
        <v/>
      </c>
      <c r="K106" s="14" t="inlineStr">
        <is>
          <t>Not Started</t>
        </is>
      </c>
      <c r="L106" s="14" t="inlineStr"/>
      <c r="M106" s="14" t="inlineStr"/>
      <c r="N106" s="14" t="inlineStr"/>
      <c r="O106" s="15">
        <f>IF(H106="NOT MET","Yes","No")</f>
        <v/>
      </c>
    </row>
    <row r="107">
      <c r="A107" s="13" t="inlineStr">
        <is>
          <t>SC</t>
        </is>
      </c>
      <c r="B107" s="13" t="inlineStr">
        <is>
          <t>SC.L2-3.13.15</t>
        </is>
      </c>
      <c r="C107" s="13" t="inlineStr">
        <is>
          <t>Communications Authenticity</t>
        </is>
      </c>
      <c r="D107" s="13" t="inlineStr">
        <is>
          <t>Protect the authenticity of communications sessions.</t>
        </is>
      </c>
      <c r="E107" s="13" t="n">
        <v>250</v>
      </c>
      <c r="F107" s="13" t="n">
        <v>251</v>
      </c>
      <c r="G107" s="14" t="inlineStr">
        <is>
          <t>Yes</t>
        </is>
      </c>
      <c r="H107" s="14" t="inlineStr">
        <is>
          <t>NOT ASSESSED</t>
        </is>
      </c>
      <c r="I107" s="13" t="n">
        <v>1</v>
      </c>
      <c r="J107" s="15">
        <f>IF(OR(H107="MET",H107="NOT APPLICABLE"),0,IF(H107="NOT MET",I107,0))</f>
        <v/>
      </c>
      <c r="K107" s="14" t="inlineStr">
        <is>
          <t>Not Started</t>
        </is>
      </c>
      <c r="L107" s="14" t="inlineStr"/>
      <c r="M107" s="14" t="inlineStr"/>
      <c r="N107" s="14" t="inlineStr"/>
      <c r="O107" s="15">
        <f>IF(H107="NOT MET","Yes","No")</f>
        <v/>
      </c>
    </row>
    <row r="108">
      <c r="A108" s="13" t="inlineStr">
        <is>
          <t>SC</t>
        </is>
      </c>
      <c r="B108" s="13" t="inlineStr">
        <is>
          <t>SC.L2-3.13.16</t>
        </is>
      </c>
      <c r="C108" s="13" t="inlineStr">
        <is>
          <t>Data at Rest</t>
        </is>
      </c>
      <c r="D108" s="13" t="inlineStr">
        <is>
          <t>Protect the confidentiality of CUI at rest.</t>
        </is>
      </c>
      <c r="E108" s="13" t="n">
        <v>252</v>
      </c>
      <c r="F108" s="13" t="n">
        <v>253</v>
      </c>
      <c r="G108" s="14" t="inlineStr">
        <is>
          <t>Yes</t>
        </is>
      </c>
      <c r="H108" s="14" t="inlineStr">
        <is>
          <t>NOT ASSESSED</t>
        </is>
      </c>
      <c r="I108" s="13" t="n">
        <v>1</v>
      </c>
      <c r="J108" s="15">
        <f>IF(OR(H108="MET",H108="NOT APPLICABLE"),0,IF(H108="NOT MET",I108,0))</f>
        <v/>
      </c>
      <c r="K108" s="14" t="inlineStr">
        <is>
          <t>Not Started</t>
        </is>
      </c>
      <c r="L108" s="14" t="inlineStr"/>
      <c r="M108" s="14" t="inlineStr"/>
      <c r="N108" s="14" t="inlineStr"/>
      <c r="O108" s="15">
        <f>IF(H108="NOT MET","Yes","No")</f>
        <v/>
      </c>
    </row>
    <row r="109">
      <c r="A109" s="13" t="inlineStr">
        <is>
          <t>SI</t>
        </is>
      </c>
      <c r="B109" s="13" t="inlineStr">
        <is>
          <t>SI.L2-3.14.1</t>
        </is>
      </c>
      <c r="C109" s="13" t="inlineStr">
        <is>
          <t>Flaw Remediation [CUI Data]</t>
        </is>
      </c>
      <c r="D109" s="13" t="inlineStr">
        <is>
          <t>Identify, report, and correct system flaws in a timely manner.</t>
        </is>
      </c>
      <c r="E109" s="13" t="n">
        <v>254</v>
      </c>
      <c r="F109" s="13" t="n">
        <v>256</v>
      </c>
      <c r="G109" s="14" t="inlineStr">
        <is>
          <t>Yes</t>
        </is>
      </c>
      <c r="H109" s="14" t="inlineStr">
        <is>
          <t>NOT ASSESSED</t>
        </is>
      </c>
      <c r="I109" s="13" t="n">
        <v>1</v>
      </c>
      <c r="J109" s="15">
        <f>IF(OR(H109="MET",H109="NOT APPLICABLE"),0,IF(H109="NOT MET",I109,0))</f>
        <v/>
      </c>
      <c r="K109" s="14" t="inlineStr">
        <is>
          <t>Not Started</t>
        </is>
      </c>
      <c r="L109" s="14" t="inlineStr"/>
      <c r="M109" s="14" t="inlineStr"/>
      <c r="N109" s="14" t="inlineStr"/>
      <c r="O109" s="15">
        <f>IF(H109="NOT MET","Yes","No")</f>
        <v/>
      </c>
    </row>
    <row r="110">
      <c r="A110" s="13" t="inlineStr">
        <is>
          <t>SI</t>
        </is>
      </c>
      <c r="B110" s="13" t="inlineStr">
        <is>
          <t>SI.L2-3.14.2</t>
        </is>
      </c>
      <c r="C110" s="13" t="inlineStr">
        <is>
          <t>Malicious Code Protection [CUI Data]</t>
        </is>
      </c>
      <c r="D110" s="13" t="inlineStr">
        <is>
          <t>Provide protection from malicious code at designated locations within organizational systems.</t>
        </is>
      </c>
      <c r="E110" s="13" t="n">
        <v>257</v>
      </c>
      <c r="F110" s="13" t="n">
        <v>259</v>
      </c>
      <c r="G110" s="14" t="inlineStr">
        <is>
          <t>Yes</t>
        </is>
      </c>
      <c r="H110" s="14" t="inlineStr">
        <is>
          <t>NOT ASSESSED</t>
        </is>
      </c>
      <c r="I110" s="13" t="n">
        <v>1</v>
      </c>
      <c r="J110" s="15">
        <f>IF(OR(H110="MET",H110="NOT APPLICABLE"),0,IF(H110="NOT MET",I110,0))</f>
        <v/>
      </c>
      <c r="K110" s="14" t="inlineStr">
        <is>
          <t>Not Started</t>
        </is>
      </c>
      <c r="L110" s="14" t="inlineStr"/>
      <c r="M110" s="14" t="inlineStr"/>
      <c r="N110" s="14" t="inlineStr"/>
      <c r="O110" s="15">
        <f>IF(H110="NOT MET","Yes","No")</f>
        <v/>
      </c>
    </row>
    <row r="111">
      <c r="A111" s="13" t="inlineStr">
        <is>
          <t>SI</t>
        </is>
      </c>
      <c r="B111" s="13" t="inlineStr">
        <is>
          <t>SI.L2-3.14.3</t>
        </is>
      </c>
      <c r="C111" s="13" t="inlineStr">
        <is>
          <t>Security Alerts &amp; Advisories</t>
        </is>
      </c>
      <c r="D111" s="13" t="inlineStr">
        <is>
          <t>Monitor system security alerts and advisories and take action in response.</t>
        </is>
      </c>
      <c r="E111" s="13" t="n">
        <v>260</v>
      </c>
      <c r="F111" s="13" t="n">
        <v>261</v>
      </c>
      <c r="G111" s="14" t="inlineStr">
        <is>
          <t>Yes</t>
        </is>
      </c>
      <c r="H111" s="14" t="inlineStr">
        <is>
          <t>NOT ASSESSED</t>
        </is>
      </c>
      <c r="I111" s="13" t="n">
        <v>1</v>
      </c>
      <c r="J111" s="15">
        <f>IF(OR(H111="MET",H111="NOT APPLICABLE"),0,IF(H111="NOT MET",I111,0))</f>
        <v/>
      </c>
      <c r="K111" s="14" t="inlineStr">
        <is>
          <t>Not Started</t>
        </is>
      </c>
      <c r="L111" s="14" t="inlineStr"/>
      <c r="M111" s="14" t="inlineStr"/>
      <c r="N111" s="14" t="inlineStr"/>
      <c r="O111" s="15">
        <f>IF(H111="NOT MET","Yes","No")</f>
        <v/>
      </c>
    </row>
    <row r="112">
      <c r="A112" s="13" t="inlineStr">
        <is>
          <t>SI</t>
        </is>
      </c>
      <c r="B112" s="13" t="inlineStr">
        <is>
          <t>SI.L2-3.14.4</t>
        </is>
      </c>
      <c r="C112" s="13" t="inlineStr">
        <is>
          <t>Update Malicious Code Protection [CUI Data]</t>
        </is>
      </c>
      <c r="D112" s="13" t="inlineStr">
        <is>
          <t>Update malicious code protection mechanisms when new releases are available.</t>
        </is>
      </c>
      <c r="E112" s="13" t="n">
        <v>262</v>
      </c>
      <c r="F112" s="13" t="n">
        <v>263</v>
      </c>
      <c r="G112" s="14" t="inlineStr">
        <is>
          <t>Yes</t>
        </is>
      </c>
      <c r="H112" s="14" t="inlineStr">
        <is>
          <t>NOT ASSESSED</t>
        </is>
      </c>
      <c r="I112" s="13" t="n">
        <v>1</v>
      </c>
      <c r="J112" s="15">
        <f>IF(OR(H112="MET",H112="NOT APPLICABLE"),0,IF(H112="NOT MET",I112,0))</f>
        <v/>
      </c>
      <c r="K112" s="14" t="inlineStr">
        <is>
          <t>Not Started</t>
        </is>
      </c>
      <c r="L112" s="14" t="inlineStr"/>
      <c r="M112" s="14" t="inlineStr"/>
      <c r="N112" s="14" t="inlineStr"/>
      <c r="O112" s="15">
        <f>IF(H112="NOT MET","Yes","No")</f>
        <v/>
      </c>
    </row>
    <row r="113">
      <c r="A113" s="13" t="inlineStr">
        <is>
          <t>SI</t>
        </is>
      </c>
      <c r="B113" s="13" t="inlineStr">
        <is>
          <t>SI.L2-3.14.5</t>
        </is>
      </c>
      <c r="C113" s="13" t="inlineStr">
        <is>
          <t>System &amp; File Scanning [CUI Data]</t>
        </is>
      </c>
      <c r="D113" s="13" t="inlineStr">
        <is>
          <t>Perform periodic scans of organizational systems and real -time scans of files from external sources as files are downloaded, opened, or executed.</t>
        </is>
      </c>
      <c r="E113" s="13" t="n">
        <v>264</v>
      </c>
      <c r="F113" s="13" t="n">
        <v>265</v>
      </c>
      <c r="G113" s="14" t="inlineStr">
        <is>
          <t>Yes</t>
        </is>
      </c>
      <c r="H113" s="14" t="inlineStr">
        <is>
          <t>NOT ASSESSED</t>
        </is>
      </c>
      <c r="I113" s="13" t="n">
        <v>1</v>
      </c>
      <c r="J113" s="15">
        <f>IF(OR(H113="MET",H113="NOT APPLICABLE"),0,IF(H113="NOT MET",I113,0))</f>
        <v/>
      </c>
      <c r="K113" s="14" t="inlineStr">
        <is>
          <t>Not Started</t>
        </is>
      </c>
      <c r="L113" s="14" t="inlineStr"/>
      <c r="M113" s="14" t="inlineStr"/>
      <c r="N113" s="14" t="inlineStr"/>
      <c r="O113" s="15">
        <f>IF(H113="NOT MET","Yes","No")</f>
        <v/>
      </c>
    </row>
    <row r="114">
      <c r="A114" s="13" t="inlineStr">
        <is>
          <t>SI</t>
        </is>
      </c>
      <c r="B114" s="13" t="inlineStr">
        <is>
          <t>SI.L2-3.14.6</t>
        </is>
      </c>
      <c r="C114" s="13" t="inlineStr">
        <is>
          <t>Monitor Communications for Attacks</t>
        </is>
      </c>
      <c r="D114" s="13" t="inlineStr">
        <is>
          <t>Monitor organizational systems, including inbound and outbound communications traffic, to detect attacks and indicators of potential attacks.</t>
        </is>
      </c>
      <c r="E114" s="13" t="n">
        <v>266</v>
      </c>
      <c r="F114" s="13" t="n">
        <v>268</v>
      </c>
      <c r="G114" s="14" t="inlineStr">
        <is>
          <t>Yes</t>
        </is>
      </c>
      <c r="H114" s="14" t="inlineStr">
        <is>
          <t>NOT ASSESSED</t>
        </is>
      </c>
      <c r="I114" s="13" t="n">
        <v>1</v>
      </c>
      <c r="J114" s="15">
        <f>IF(OR(H114="MET",H114="NOT APPLICABLE"),0,IF(H114="NOT MET",I114,0))</f>
        <v/>
      </c>
      <c r="K114" s="14" t="inlineStr">
        <is>
          <t>Not Started</t>
        </is>
      </c>
      <c r="L114" s="14" t="inlineStr"/>
      <c r="M114" s="14" t="inlineStr"/>
      <c r="N114" s="14" t="inlineStr"/>
      <c r="O114" s="15">
        <f>IF(H114="NOT MET","Yes","No")</f>
        <v/>
      </c>
    </row>
    <row r="115">
      <c r="A115" s="13" t="inlineStr">
        <is>
          <t>SI</t>
        </is>
      </c>
      <c r="B115" s="13" t="inlineStr">
        <is>
          <t>SI.L2-3.14.7</t>
        </is>
      </c>
      <c r="C115" s="13" t="inlineStr">
        <is>
          <t>Identify Unauthorized Use</t>
        </is>
      </c>
      <c r="D115" s="13" t="inlineStr">
        <is>
          <t>Identify unauthorized use of organizational systems.</t>
        </is>
      </c>
      <c r="E115" s="13" t="n">
        <v>269</v>
      </c>
      <c r="F115" s="13" t="n">
        <v>276</v>
      </c>
      <c r="G115" s="14" t="inlineStr">
        <is>
          <t>Yes</t>
        </is>
      </c>
      <c r="H115" s="14" t="inlineStr">
        <is>
          <t>NOT ASSESSED</t>
        </is>
      </c>
      <c r="I115" s="13" t="n">
        <v>1</v>
      </c>
      <c r="J115" s="15">
        <f>IF(OR(H115="MET",H115="NOT APPLICABLE"),0,IF(H115="NOT MET",I115,0))</f>
        <v/>
      </c>
      <c r="K115" s="14" t="inlineStr">
        <is>
          <t>Not Started</t>
        </is>
      </c>
      <c r="L115" s="14" t="inlineStr"/>
      <c r="M115" s="14" t="inlineStr"/>
      <c r="N115" s="14" t="inlineStr"/>
      <c r="O115" s="15">
        <f>IF(H115="NOT MET","Yes","No")</f>
        <v/>
      </c>
    </row>
  </sheetData>
  <autoFilter ref="A5:O115"/>
  <mergeCells count="2">
    <mergeCell ref="A1:O2"/>
    <mergeCell ref="A3:O3"/>
  </mergeCells>
  <conditionalFormatting sqref="H6:H115">
    <cfRule type="expression" priority="1" dxfId="0">
      <formula>H6="MET"</formula>
    </cfRule>
    <cfRule type="expression" priority="2" dxfId="1">
      <formula>H6="NOT MET"</formula>
    </cfRule>
    <cfRule type="expression" priority="3" dxfId="2">
      <formula>H6="NOT ASSESSED"</formula>
    </cfRule>
  </conditionalFormatting>
  <dataValidations count="3">
    <dataValidation sqref="H6:H115" showDropDown="0" showInputMessage="0" showErrorMessage="0" allowBlank="0" type="list">
      <formula1>"MET,NOT MET,NOT APPLICABLE,NOT ASSESSED"</formula1>
    </dataValidation>
    <dataValidation sqref="G6:G115" showDropDown="0" showInputMessage="0" showErrorMessage="0" allowBlank="0" type="list">
      <formula1>"Yes,No"</formula1>
    </dataValidation>
    <dataValidation sqref="K6:K115" showDropDown="0" showInputMessage="0" showErrorMessage="0" allowBlank="0" type="list">
      <formula1>"Not Started,In Progress,Complete,Not Applicable"</formula1>
    </dataValidation>
  </dataValidations>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19"/>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6" customHeight="1">
      <c r="A1" s="1" t="inlineStr">
        <is>
          <t>Domain Summary</t>
        </is>
      </c>
      <c r="B1" s="2" t="n"/>
      <c r="C1" s="2" t="n"/>
      <c r="D1" s="2" t="n"/>
      <c r="E1" s="2" t="n"/>
      <c r="F1" s="2" t="n"/>
      <c r="G1" s="2" t="n"/>
      <c r="H1" s="2" t="n"/>
    </row>
    <row r="2" ht="14" customHeight="1">
      <c r="A2" s="2" t="n"/>
      <c r="B2" s="2" t="n"/>
      <c r="C2" s="2" t="n"/>
      <c r="D2" s="2" t="n"/>
      <c r="E2" s="2" t="n"/>
      <c r="F2" s="2" t="n"/>
      <c r="G2" s="2" t="n"/>
      <c r="H2" s="2" t="n"/>
    </row>
    <row r="3" ht="22" customHeight="1">
      <c r="A3" s="3" t="inlineStr">
        <is>
          <t>Requirement completion and findings by CMMC domain</t>
        </is>
      </c>
      <c r="B3" s="2" t="n"/>
      <c r="C3" s="2" t="n"/>
      <c r="D3" s="2" t="n"/>
      <c r="E3" s="2" t="n"/>
      <c r="F3" s="2" t="n"/>
      <c r="G3" s="2" t="n"/>
      <c r="H3" s="2" t="n"/>
    </row>
    <row r="5" ht="32" customHeight="1">
      <c r="A5" s="8" t="inlineStr">
        <is>
          <t>Domain</t>
        </is>
      </c>
      <c r="B5" s="8" t="inlineStr">
        <is>
          <t>Requirement Count</t>
        </is>
      </c>
      <c r="C5" s="8" t="inlineStr">
        <is>
          <t>Met</t>
        </is>
      </c>
      <c r="D5" s="8" t="inlineStr">
        <is>
          <t>Not Met</t>
        </is>
      </c>
      <c r="E5" s="8" t="inlineStr">
        <is>
          <t>Not Assessed</t>
        </is>
      </c>
      <c r="F5" s="8" t="inlineStr">
        <is>
          <t>Lost Points</t>
        </is>
      </c>
      <c r="G5" s="8" t="inlineStr">
        <is>
          <t>Completion %</t>
        </is>
      </c>
      <c r="H5" s="8" t="inlineStr">
        <is>
          <t>Readiness</t>
        </is>
      </c>
    </row>
    <row r="6">
      <c r="A6" s="16" t="inlineStr">
        <is>
          <t>AC</t>
        </is>
      </c>
      <c r="B6" s="16">
        <f>COUNTIF(Assessment!$A$6:$A$115,A6)</f>
        <v/>
      </c>
      <c r="C6" s="16">
        <f>COUNTIFS(Assessment!$A$6:$A$115,A6,Assessment!$H$6:$H$115,"MET")</f>
        <v/>
      </c>
      <c r="D6" s="16">
        <f>COUNTIFS(Assessment!$A$6:$A$115,A6,Assessment!$H$6:$H$115,"NOT MET")</f>
        <v/>
      </c>
      <c r="E6" s="16">
        <f>COUNTIFS(Assessment!$A$6:$A$115,A6,Assessment!$H$6:$H$115,"NOT ASSESSED")</f>
        <v/>
      </c>
      <c r="F6" s="16">
        <f>SUMIF(Assessment!$A$6:$A$115,A6,Assessment!$J$6:$J$115)</f>
        <v/>
      </c>
      <c r="G6" s="17">
        <f>IF(B6=0,0,C6/B6)</f>
        <v/>
      </c>
      <c r="H6" s="16">
        <f>IF(G6=1,"Ready",IF(G6&gt;=0.8,"Near Ready","Needs Work"))</f>
        <v/>
      </c>
    </row>
    <row r="7">
      <c r="A7" s="16" t="inlineStr">
        <is>
          <t>AT</t>
        </is>
      </c>
      <c r="B7" s="16">
        <f>COUNTIF(Assessment!$A$6:$A$115,A7)</f>
        <v/>
      </c>
      <c r="C7" s="16">
        <f>COUNTIFS(Assessment!$A$6:$A$115,A7,Assessment!$H$6:$H$115,"MET")</f>
        <v/>
      </c>
      <c r="D7" s="16">
        <f>COUNTIFS(Assessment!$A$6:$A$115,A7,Assessment!$H$6:$H$115,"NOT MET")</f>
        <v/>
      </c>
      <c r="E7" s="16">
        <f>COUNTIFS(Assessment!$A$6:$A$115,A7,Assessment!$H$6:$H$115,"NOT ASSESSED")</f>
        <v/>
      </c>
      <c r="F7" s="16">
        <f>SUMIF(Assessment!$A$6:$A$115,A7,Assessment!$J$6:$J$115)</f>
        <v/>
      </c>
      <c r="G7" s="17">
        <f>IF(B7=0,0,C7/B7)</f>
        <v/>
      </c>
      <c r="H7" s="16">
        <f>IF(G7=1,"Ready",IF(G7&gt;=0.8,"Near Ready","Needs Work"))</f>
        <v/>
      </c>
    </row>
    <row r="8">
      <c r="A8" s="16" t="inlineStr">
        <is>
          <t>AU</t>
        </is>
      </c>
      <c r="B8" s="16">
        <f>COUNTIF(Assessment!$A$6:$A$115,A8)</f>
        <v/>
      </c>
      <c r="C8" s="16">
        <f>COUNTIFS(Assessment!$A$6:$A$115,A8,Assessment!$H$6:$H$115,"MET")</f>
        <v/>
      </c>
      <c r="D8" s="16">
        <f>COUNTIFS(Assessment!$A$6:$A$115,A8,Assessment!$H$6:$H$115,"NOT MET")</f>
        <v/>
      </c>
      <c r="E8" s="16">
        <f>COUNTIFS(Assessment!$A$6:$A$115,A8,Assessment!$H$6:$H$115,"NOT ASSESSED")</f>
        <v/>
      </c>
      <c r="F8" s="16">
        <f>SUMIF(Assessment!$A$6:$A$115,A8,Assessment!$J$6:$J$115)</f>
        <v/>
      </c>
      <c r="G8" s="17">
        <f>IF(B8=0,0,C8/B8)</f>
        <v/>
      </c>
      <c r="H8" s="16">
        <f>IF(G8=1,"Ready",IF(G8&gt;=0.8,"Near Ready","Needs Work"))</f>
        <v/>
      </c>
    </row>
    <row r="9">
      <c r="A9" s="16" t="inlineStr">
        <is>
          <t>CM</t>
        </is>
      </c>
      <c r="B9" s="16">
        <f>COUNTIF(Assessment!$A$6:$A$115,A9)</f>
        <v/>
      </c>
      <c r="C9" s="16">
        <f>COUNTIFS(Assessment!$A$6:$A$115,A9,Assessment!$H$6:$H$115,"MET")</f>
        <v/>
      </c>
      <c r="D9" s="16">
        <f>COUNTIFS(Assessment!$A$6:$A$115,A9,Assessment!$H$6:$H$115,"NOT MET")</f>
        <v/>
      </c>
      <c r="E9" s="16">
        <f>COUNTIFS(Assessment!$A$6:$A$115,A9,Assessment!$H$6:$H$115,"NOT ASSESSED")</f>
        <v/>
      </c>
      <c r="F9" s="16">
        <f>SUMIF(Assessment!$A$6:$A$115,A9,Assessment!$J$6:$J$115)</f>
        <v/>
      </c>
      <c r="G9" s="17">
        <f>IF(B9=0,0,C9/B9)</f>
        <v/>
      </c>
      <c r="H9" s="16">
        <f>IF(G9=1,"Ready",IF(G9&gt;=0.8,"Near Ready","Needs Work"))</f>
        <v/>
      </c>
    </row>
    <row r="10">
      <c r="A10" s="16" t="inlineStr">
        <is>
          <t>IA</t>
        </is>
      </c>
      <c r="B10" s="16">
        <f>COUNTIF(Assessment!$A$6:$A$115,A10)</f>
        <v/>
      </c>
      <c r="C10" s="16">
        <f>COUNTIFS(Assessment!$A$6:$A$115,A10,Assessment!$H$6:$H$115,"MET")</f>
        <v/>
      </c>
      <c r="D10" s="16">
        <f>COUNTIFS(Assessment!$A$6:$A$115,A10,Assessment!$H$6:$H$115,"NOT MET")</f>
        <v/>
      </c>
      <c r="E10" s="16">
        <f>COUNTIFS(Assessment!$A$6:$A$115,A10,Assessment!$H$6:$H$115,"NOT ASSESSED")</f>
        <v/>
      </c>
      <c r="F10" s="16">
        <f>SUMIF(Assessment!$A$6:$A$115,A10,Assessment!$J$6:$J$115)</f>
        <v/>
      </c>
      <c r="G10" s="17">
        <f>IF(B10=0,0,C10/B10)</f>
        <v/>
      </c>
      <c r="H10" s="16">
        <f>IF(G10=1,"Ready",IF(G10&gt;=0.8,"Near Ready","Needs Work"))</f>
        <v/>
      </c>
    </row>
    <row r="11">
      <c r="A11" s="16" t="inlineStr">
        <is>
          <t>IR</t>
        </is>
      </c>
      <c r="B11" s="16">
        <f>COUNTIF(Assessment!$A$6:$A$115,A11)</f>
        <v/>
      </c>
      <c r="C11" s="16">
        <f>COUNTIFS(Assessment!$A$6:$A$115,A11,Assessment!$H$6:$H$115,"MET")</f>
        <v/>
      </c>
      <c r="D11" s="16">
        <f>COUNTIFS(Assessment!$A$6:$A$115,A11,Assessment!$H$6:$H$115,"NOT MET")</f>
        <v/>
      </c>
      <c r="E11" s="16">
        <f>COUNTIFS(Assessment!$A$6:$A$115,A11,Assessment!$H$6:$H$115,"NOT ASSESSED")</f>
        <v/>
      </c>
      <c r="F11" s="16">
        <f>SUMIF(Assessment!$A$6:$A$115,A11,Assessment!$J$6:$J$115)</f>
        <v/>
      </c>
      <c r="G11" s="17">
        <f>IF(B11=0,0,C11/B11)</f>
        <v/>
      </c>
      <c r="H11" s="16">
        <f>IF(G11=1,"Ready",IF(G11&gt;=0.8,"Near Ready","Needs Work"))</f>
        <v/>
      </c>
    </row>
    <row r="12">
      <c r="A12" s="16" t="inlineStr">
        <is>
          <t>MA</t>
        </is>
      </c>
      <c r="B12" s="16">
        <f>COUNTIF(Assessment!$A$6:$A$115,A12)</f>
        <v/>
      </c>
      <c r="C12" s="16">
        <f>COUNTIFS(Assessment!$A$6:$A$115,A12,Assessment!$H$6:$H$115,"MET")</f>
        <v/>
      </c>
      <c r="D12" s="16">
        <f>COUNTIFS(Assessment!$A$6:$A$115,A12,Assessment!$H$6:$H$115,"NOT MET")</f>
        <v/>
      </c>
      <c r="E12" s="16">
        <f>COUNTIFS(Assessment!$A$6:$A$115,A12,Assessment!$H$6:$H$115,"NOT ASSESSED")</f>
        <v/>
      </c>
      <c r="F12" s="16">
        <f>SUMIF(Assessment!$A$6:$A$115,A12,Assessment!$J$6:$J$115)</f>
        <v/>
      </c>
      <c r="G12" s="17">
        <f>IF(B12=0,0,C12/B12)</f>
        <v/>
      </c>
      <c r="H12" s="16">
        <f>IF(G12=1,"Ready",IF(G12&gt;=0.8,"Near Ready","Needs Work"))</f>
        <v/>
      </c>
    </row>
    <row r="13">
      <c r="A13" s="16" t="inlineStr">
        <is>
          <t>MP</t>
        </is>
      </c>
      <c r="B13" s="16">
        <f>COUNTIF(Assessment!$A$6:$A$115,A13)</f>
        <v/>
      </c>
      <c r="C13" s="16">
        <f>COUNTIFS(Assessment!$A$6:$A$115,A13,Assessment!$H$6:$H$115,"MET")</f>
        <v/>
      </c>
      <c r="D13" s="16">
        <f>COUNTIFS(Assessment!$A$6:$A$115,A13,Assessment!$H$6:$H$115,"NOT MET")</f>
        <v/>
      </c>
      <c r="E13" s="16">
        <f>COUNTIFS(Assessment!$A$6:$A$115,A13,Assessment!$H$6:$H$115,"NOT ASSESSED")</f>
        <v/>
      </c>
      <c r="F13" s="16">
        <f>SUMIF(Assessment!$A$6:$A$115,A13,Assessment!$J$6:$J$115)</f>
        <v/>
      </c>
      <c r="G13" s="17">
        <f>IF(B13=0,0,C13/B13)</f>
        <v/>
      </c>
      <c r="H13" s="16">
        <f>IF(G13=1,"Ready",IF(G13&gt;=0.8,"Near Ready","Needs Work"))</f>
        <v/>
      </c>
    </row>
    <row r="14">
      <c r="A14" s="16" t="inlineStr">
        <is>
          <t>PS</t>
        </is>
      </c>
      <c r="B14" s="16">
        <f>COUNTIF(Assessment!$A$6:$A$115,A14)</f>
        <v/>
      </c>
      <c r="C14" s="16">
        <f>COUNTIFS(Assessment!$A$6:$A$115,A14,Assessment!$H$6:$H$115,"MET")</f>
        <v/>
      </c>
      <c r="D14" s="16">
        <f>COUNTIFS(Assessment!$A$6:$A$115,A14,Assessment!$H$6:$H$115,"NOT MET")</f>
        <v/>
      </c>
      <c r="E14" s="16">
        <f>COUNTIFS(Assessment!$A$6:$A$115,A14,Assessment!$H$6:$H$115,"NOT ASSESSED")</f>
        <v/>
      </c>
      <c r="F14" s="16">
        <f>SUMIF(Assessment!$A$6:$A$115,A14,Assessment!$J$6:$J$115)</f>
        <v/>
      </c>
      <c r="G14" s="17">
        <f>IF(B14=0,0,C14/B14)</f>
        <v/>
      </c>
      <c r="H14" s="16">
        <f>IF(G14=1,"Ready",IF(G14&gt;=0.8,"Near Ready","Needs Work"))</f>
        <v/>
      </c>
    </row>
    <row r="15">
      <c r="A15" s="16" t="inlineStr">
        <is>
          <t>PE</t>
        </is>
      </c>
      <c r="B15" s="16">
        <f>COUNTIF(Assessment!$A$6:$A$115,A15)</f>
        <v/>
      </c>
      <c r="C15" s="16">
        <f>COUNTIFS(Assessment!$A$6:$A$115,A15,Assessment!$H$6:$H$115,"MET")</f>
        <v/>
      </c>
      <c r="D15" s="16">
        <f>COUNTIFS(Assessment!$A$6:$A$115,A15,Assessment!$H$6:$H$115,"NOT MET")</f>
        <v/>
      </c>
      <c r="E15" s="16">
        <f>COUNTIFS(Assessment!$A$6:$A$115,A15,Assessment!$H$6:$H$115,"NOT ASSESSED")</f>
        <v/>
      </c>
      <c r="F15" s="16">
        <f>SUMIF(Assessment!$A$6:$A$115,A15,Assessment!$J$6:$J$115)</f>
        <v/>
      </c>
      <c r="G15" s="17">
        <f>IF(B15=0,0,C15/B15)</f>
        <v/>
      </c>
      <c r="H15" s="16">
        <f>IF(G15=1,"Ready",IF(G15&gt;=0.8,"Near Ready","Needs Work"))</f>
        <v/>
      </c>
    </row>
    <row r="16">
      <c r="A16" s="16" t="inlineStr">
        <is>
          <t>RA</t>
        </is>
      </c>
      <c r="B16" s="16">
        <f>COUNTIF(Assessment!$A$6:$A$115,A16)</f>
        <v/>
      </c>
      <c r="C16" s="16">
        <f>COUNTIFS(Assessment!$A$6:$A$115,A16,Assessment!$H$6:$H$115,"MET")</f>
        <v/>
      </c>
      <c r="D16" s="16">
        <f>COUNTIFS(Assessment!$A$6:$A$115,A16,Assessment!$H$6:$H$115,"NOT MET")</f>
        <v/>
      </c>
      <c r="E16" s="16">
        <f>COUNTIFS(Assessment!$A$6:$A$115,A16,Assessment!$H$6:$H$115,"NOT ASSESSED")</f>
        <v/>
      </c>
      <c r="F16" s="16">
        <f>SUMIF(Assessment!$A$6:$A$115,A16,Assessment!$J$6:$J$115)</f>
        <v/>
      </c>
      <c r="G16" s="17">
        <f>IF(B16=0,0,C16/B16)</f>
        <v/>
      </c>
      <c r="H16" s="16">
        <f>IF(G16=1,"Ready",IF(G16&gt;=0.8,"Near Ready","Needs Work"))</f>
        <v/>
      </c>
    </row>
    <row r="17">
      <c r="A17" s="16" t="inlineStr">
        <is>
          <t>CA</t>
        </is>
      </c>
      <c r="B17" s="16">
        <f>COUNTIF(Assessment!$A$6:$A$115,A17)</f>
        <v/>
      </c>
      <c r="C17" s="16">
        <f>COUNTIFS(Assessment!$A$6:$A$115,A17,Assessment!$H$6:$H$115,"MET")</f>
        <v/>
      </c>
      <c r="D17" s="16">
        <f>COUNTIFS(Assessment!$A$6:$A$115,A17,Assessment!$H$6:$H$115,"NOT MET")</f>
        <v/>
      </c>
      <c r="E17" s="16">
        <f>COUNTIFS(Assessment!$A$6:$A$115,A17,Assessment!$H$6:$H$115,"NOT ASSESSED")</f>
        <v/>
      </c>
      <c r="F17" s="16">
        <f>SUMIF(Assessment!$A$6:$A$115,A17,Assessment!$J$6:$J$115)</f>
        <v/>
      </c>
      <c r="G17" s="17">
        <f>IF(B17=0,0,C17/B17)</f>
        <v/>
      </c>
      <c r="H17" s="16">
        <f>IF(G17=1,"Ready",IF(G17&gt;=0.8,"Near Ready","Needs Work"))</f>
        <v/>
      </c>
    </row>
    <row r="18">
      <c r="A18" s="16" t="inlineStr">
        <is>
          <t>SC</t>
        </is>
      </c>
      <c r="B18" s="16">
        <f>COUNTIF(Assessment!$A$6:$A$115,A18)</f>
        <v/>
      </c>
      <c r="C18" s="16">
        <f>COUNTIFS(Assessment!$A$6:$A$115,A18,Assessment!$H$6:$H$115,"MET")</f>
        <v/>
      </c>
      <c r="D18" s="16">
        <f>COUNTIFS(Assessment!$A$6:$A$115,A18,Assessment!$H$6:$H$115,"NOT MET")</f>
        <v/>
      </c>
      <c r="E18" s="16">
        <f>COUNTIFS(Assessment!$A$6:$A$115,A18,Assessment!$H$6:$H$115,"NOT ASSESSED")</f>
        <v/>
      </c>
      <c r="F18" s="16">
        <f>SUMIF(Assessment!$A$6:$A$115,A18,Assessment!$J$6:$J$115)</f>
        <v/>
      </c>
      <c r="G18" s="17">
        <f>IF(B18=0,0,C18/B18)</f>
        <v/>
      </c>
      <c r="H18" s="16">
        <f>IF(G18=1,"Ready",IF(G18&gt;=0.8,"Near Ready","Needs Work"))</f>
        <v/>
      </c>
    </row>
    <row r="19">
      <c r="A19" s="16" t="inlineStr">
        <is>
          <t>SI</t>
        </is>
      </c>
      <c r="B19" s="16">
        <f>COUNTIF(Assessment!$A$6:$A$115,A19)</f>
        <v/>
      </c>
      <c r="C19" s="16">
        <f>COUNTIFS(Assessment!$A$6:$A$115,A19,Assessment!$H$6:$H$115,"MET")</f>
        <v/>
      </c>
      <c r="D19" s="16">
        <f>COUNTIFS(Assessment!$A$6:$A$115,A19,Assessment!$H$6:$H$115,"NOT MET")</f>
        <v/>
      </c>
      <c r="E19" s="16">
        <f>COUNTIFS(Assessment!$A$6:$A$115,A19,Assessment!$H$6:$H$115,"NOT ASSESSED")</f>
        <v/>
      </c>
      <c r="F19" s="16">
        <f>SUMIF(Assessment!$A$6:$A$115,A19,Assessment!$J$6:$J$115)</f>
        <v/>
      </c>
      <c r="G19" s="17">
        <f>IF(B19=0,0,C19/B19)</f>
        <v/>
      </c>
      <c r="H19" s="16">
        <f>IF(G19=1,"Ready",IF(G19&gt;=0.8,"Near Ready","Needs Work"))</f>
        <v/>
      </c>
    </row>
  </sheetData>
  <autoFilter ref="A5:H19"/>
  <mergeCells count="2">
    <mergeCell ref="A1:H2"/>
    <mergeCell ref="A3:H3"/>
  </mergeCells>
  <pageMargins left="0.25" right="0.25" top="0.5" bottom="0.5"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8"/>
  <sheetViews>
    <sheetView showGridLines="0" zoomScale="9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Evidence Register</t>
        </is>
      </c>
      <c r="B1" s="2" t="n"/>
      <c r="C1" s="2" t="n"/>
      <c r="D1" s="2" t="n"/>
      <c r="E1" s="2" t="n"/>
      <c r="F1" s="2" t="n"/>
      <c r="G1" s="2" t="n"/>
      <c r="H1" s="2" t="n"/>
      <c r="I1" s="2" t="n"/>
      <c r="J1" s="2" t="n"/>
    </row>
    <row r="2" ht="14" customHeight="1">
      <c r="A2" s="2" t="n"/>
      <c r="B2" s="2" t="n"/>
      <c r="C2" s="2" t="n"/>
      <c r="D2" s="2" t="n"/>
      <c r="E2" s="2" t="n"/>
      <c r="F2" s="2" t="n"/>
      <c r="G2" s="2" t="n"/>
      <c r="H2" s="2" t="n"/>
      <c r="I2" s="2" t="n"/>
      <c r="J2" s="2" t="n"/>
    </row>
    <row r="3" ht="22" customHeight="1">
      <c r="A3" s="3" t="inlineStr">
        <is>
          <t>Track documents, configurations, interviews, tests, screenshots, and supporting evidence.</t>
        </is>
      </c>
      <c r="B3" s="2" t="n"/>
      <c r="C3" s="2" t="n"/>
      <c r="D3" s="2" t="n"/>
      <c r="E3" s="2" t="n"/>
      <c r="F3" s="2" t="n"/>
      <c r="G3" s="2" t="n"/>
      <c r="H3" s="2" t="n"/>
      <c r="I3" s="2" t="n"/>
      <c r="J3" s="2" t="n"/>
    </row>
    <row r="6">
      <c r="B6" s="18" t="inlineStr">
        <is>
          <t>This module will be implemented in the next workbook sprint.</t>
        </is>
      </c>
    </row>
    <row r="7"/>
    <row r="8"/>
  </sheetData>
  <mergeCells count="3">
    <mergeCell ref="A1:J2"/>
    <mergeCell ref="B6:H8"/>
    <mergeCell ref="A3:J3"/>
  </mergeCells>
  <pageMargins left="0.25" right="0.25" top="0.5" bottom="0.5"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J8"/>
  <sheetViews>
    <sheetView showGridLines="0" zoomScale="9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Plan of Action &amp; Milestones</t>
        </is>
      </c>
      <c r="B1" s="2" t="n"/>
      <c r="C1" s="2" t="n"/>
      <c r="D1" s="2" t="n"/>
      <c r="E1" s="2" t="n"/>
      <c r="F1" s="2" t="n"/>
      <c r="G1" s="2" t="n"/>
      <c r="H1" s="2" t="n"/>
      <c r="I1" s="2" t="n"/>
      <c r="J1" s="2" t="n"/>
    </row>
    <row r="2" ht="14" customHeight="1">
      <c r="A2" s="2" t="n"/>
      <c r="B2" s="2" t="n"/>
      <c r="C2" s="2" t="n"/>
      <c r="D2" s="2" t="n"/>
      <c r="E2" s="2" t="n"/>
      <c r="F2" s="2" t="n"/>
      <c r="G2" s="2" t="n"/>
      <c r="H2" s="2" t="n"/>
      <c r="I2" s="2" t="n"/>
      <c r="J2" s="2" t="n"/>
    </row>
    <row r="3" ht="22" customHeight="1">
      <c r="A3" s="3" t="inlineStr">
        <is>
          <t>Track remediation actions for requirements assessed as NOT MET.</t>
        </is>
      </c>
      <c r="B3" s="2" t="n"/>
      <c r="C3" s="2" t="n"/>
      <c r="D3" s="2" t="n"/>
      <c r="E3" s="2" t="n"/>
      <c r="F3" s="2" t="n"/>
      <c r="G3" s="2" t="n"/>
      <c r="H3" s="2" t="n"/>
      <c r="I3" s="2" t="n"/>
      <c r="J3" s="2" t="n"/>
    </row>
    <row r="6">
      <c r="B6" s="18" t="inlineStr">
        <is>
          <t>This module will be implemented in the next workbook sprint.</t>
        </is>
      </c>
    </row>
    <row r="7"/>
    <row r="8"/>
  </sheetData>
  <mergeCells count="3">
    <mergeCell ref="A1:J2"/>
    <mergeCell ref="B6:H8"/>
    <mergeCell ref="A3:J3"/>
  </mergeCells>
  <pageMargins left="0.25" right="0.25" top="0.5" bottom="0.5"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8"/>
  <sheetViews>
    <sheetView showGridLines="0" zoomScale="9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SSP Crosswalk</t>
        </is>
      </c>
      <c r="B1" s="2" t="n"/>
      <c r="C1" s="2" t="n"/>
      <c r="D1" s="2" t="n"/>
      <c r="E1" s="2" t="n"/>
      <c r="F1" s="2" t="n"/>
      <c r="G1" s="2" t="n"/>
      <c r="H1" s="2" t="n"/>
      <c r="I1" s="2" t="n"/>
      <c r="J1" s="2" t="n"/>
    </row>
    <row r="2" ht="14" customHeight="1">
      <c r="A2" s="2" t="n"/>
      <c r="B2" s="2" t="n"/>
      <c r="C2" s="2" t="n"/>
      <c r="D2" s="2" t="n"/>
      <c r="E2" s="2" t="n"/>
      <c r="F2" s="2" t="n"/>
      <c r="G2" s="2" t="n"/>
      <c r="H2" s="2" t="n"/>
      <c r="I2" s="2" t="n"/>
      <c r="J2" s="2" t="n"/>
    </row>
    <row r="3" ht="22" customHeight="1">
      <c r="A3" s="3" t="inlineStr">
        <is>
          <t>Map CMMC requirements to System Security Plan sections, policies, procedures, and owners.</t>
        </is>
      </c>
      <c r="B3" s="2" t="n"/>
      <c r="C3" s="2" t="n"/>
      <c r="D3" s="2" t="n"/>
      <c r="E3" s="2" t="n"/>
      <c r="F3" s="2" t="n"/>
      <c r="G3" s="2" t="n"/>
      <c r="H3" s="2" t="n"/>
      <c r="I3" s="2" t="n"/>
      <c r="J3" s="2" t="n"/>
    </row>
    <row r="6">
      <c r="B6" s="18" t="inlineStr">
        <is>
          <t>This module will be implemented in the next workbook sprint.</t>
        </is>
      </c>
    </row>
    <row r="7"/>
    <row r="8"/>
  </sheetData>
  <mergeCells count="3">
    <mergeCell ref="A1:J2"/>
    <mergeCell ref="B6:H8"/>
    <mergeCell ref="A3:J3"/>
  </mergeCells>
  <pageMargins left="0.25" right="0.25" top="0.5" bottom="0.5"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J8"/>
  <sheetViews>
    <sheetView showGridLines="0" zoomScale="9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Assessment History</t>
        </is>
      </c>
      <c r="B1" s="2" t="n"/>
      <c r="C1" s="2" t="n"/>
      <c r="D1" s="2" t="n"/>
      <c r="E1" s="2" t="n"/>
      <c r="F1" s="2" t="n"/>
      <c r="G1" s="2" t="n"/>
      <c r="H1" s="2" t="n"/>
      <c r="I1" s="2" t="n"/>
      <c r="J1" s="2" t="n"/>
    </row>
    <row r="2" ht="14" customHeight="1">
      <c r="A2" s="2" t="n"/>
      <c r="B2" s="2" t="n"/>
      <c r="C2" s="2" t="n"/>
      <c r="D2" s="2" t="n"/>
      <c r="E2" s="2" t="n"/>
      <c r="F2" s="2" t="n"/>
      <c r="G2" s="2" t="n"/>
      <c r="H2" s="2" t="n"/>
      <c r="I2" s="2" t="n"/>
      <c r="J2" s="2" t="n"/>
    </row>
    <row r="3" ht="22" customHeight="1">
      <c r="A3" s="3" t="inlineStr">
        <is>
          <t>Store assessment snapshots and track score and readiness trends.</t>
        </is>
      </c>
      <c r="B3" s="2" t="n"/>
      <c r="C3" s="2" t="n"/>
      <c r="D3" s="2" t="n"/>
      <c r="E3" s="2" t="n"/>
      <c r="F3" s="2" t="n"/>
      <c r="G3" s="2" t="n"/>
      <c r="H3" s="2" t="n"/>
      <c r="I3" s="2" t="n"/>
      <c r="J3" s="2" t="n"/>
    </row>
    <row r="6">
      <c r="B6" s="18" t="inlineStr">
        <is>
          <t>This module will be implemented in the next workbook sprint.</t>
        </is>
      </c>
    </row>
    <row r="7"/>
    <row r="8"/>
  </sheetData>
  <mergeCells count="3">
    <mergeCell ref="A1:J2"/>
    <mergeCell ref="B6:H8"/>
    <mergeCell ref="A3:J3"/>
  </mergeCells>
  <pageMargins left="0.25" right="0.25" top="0.5" bottom="0.5"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8"/>
  <sheetViews>
    <sheetView showGridLines="0" zoomScale="9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Executive Report</t>
        </is>
      </c>
      <c r="B1" s="2" t="n"/>
      <c r="C1" s="2" t="n"/>
      <c r="D1" s="2" t="n"/>
      <c r="E1" s="2" t="n"/>
      <c r="F1" s="2" t="n"/>
      <c r="G1" s="2" t="n"/>
      <c r="H1" s="2" t="n"/>
      <c r="I1" s="2" t="n"/>
      <c r="J1" s="2" t="n"/>
    </row>
    <row r="2" ht="14" customHeight="1">
      <c r="A2" s="2" t="n"/>
      <c r="B2" s="2" t="n"/>
      <c r="C2" s="2" t="n"/>
      <c r="D2" s="2" t="n"/>
      <c r="E2" s="2" t="n"/>
      <c r="F2" s="2" t="n"/>
      <c r="G2" s="2" t="n"/>
      <c r="H2" s="2" t="n"/>
      <c r="I2" s="2" t="n"/>
      <c r="J2" s="2" t="n"/>
    </row>
    <row r="3" ht="22" customHeight="1">
      <c r="A3" s="3" t="inlineStr">
        <is>
          <t>Printable management summary of assessment results, risks, and remediation priorities.</t>
        </is>
      </c>
      <c r="B3" s="2" t="n"/>
      <c r="C3" s="2" t="n"/>
      <c r="D3" s="2" t="n"/>
      <c r="E3" s="2" t="n"/>
      <c r="F3" s="2" t="n"/>
      <c r="G3" s="2" t="n"/>
      <c r="H3" s="2" t="n"/>
      <c r="I3" s="2" t="n"/>
      <c r="J3" s="2" t="n"/>
    </row>
    <row r="6">
      <c r="B6" s="18" t="inlineStr">
        <is>
          <t>This module will be implemented in the next workbook sprint.</t>
        </is>
      </c>
    </row>
    <row r="7"/>
    <row r="8"/>
  </sheetData>
  <mergeCells count="3">
    <mergeCell ref="A1:J2"/>
    <mergeCell ref="B6:H8"/>
    <mergeCell ref="A3:J3"/>
  </mergeCells>
  <pageMargins left="0.25" right="0.25" top="0.5" bottom="0.5"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H11"/>
  <sheetViews>
    <sheetView showGridLines="0" zoomScale="90" workbookViewId="0">
      <selection activeCell="A1" sqref="A1"/>
    </sheetView>
  </sheetViews>
  <sheetFormatPr baseColWidth="8" defaultRowHeight="15"/>
  <cols>
    <col width="30" customWidth="1" min="2" max="2"/>
    <col width="35" customWidth="1" min="3" max="3"/>
  </cols>
  <sheetData>
    <row r="1" ht="26" customHeight="1">
      <c r="A1" s="1" t="inlineStr">
        <is>
          <t>Workbook Settings</t>
        </is>
      </c>
      <c r="B1" s="2" t="n"/>
      <c r="C1" s="2" t="n"/>
      <c r="D1" s="2" t="n"/>
      <c r="E1" s="2" t="n"/>
      <c r="F1" s="2" t="n"/>
      <c r="G1" s="2" t="n"/>
      <c r="H1" s="2" t="n"/>
    </row>
    <row r="2" ht="14" customHeight="1">
      <c r="A2" s="2" t="n"/>
      <c r="B2" s="2" t="n"/>
      <c r="C2" s="2" t="n"/>
      <c r="D2" s="2" t="n"/>
      <c r="E2" s="2" t="n"/>
      <c r="F2" s="2" t="n"/>
      <c r="G2" s="2" t="n"/>
      <c r="H2" s="2" t="n"/>
    </row>
    <row r="3" ht="22" customHeight="1">
      <c r="A3" s="3" t="inlineStr">
        <is>
          <t>Organization-level configuration and workbook metadata</t>
        </is>
      </c>
      <c r="B3" s="2" t="n"/>
      <c r="C3" s="2" t="n"/>
      <c r="D3" s="2" t="n"/>
      <c r="E3" s="2" t="n"/>
      <c r="F3" s="2" t="n"/>
      <c r="G3" s="2" t="n"/>
      <c r="H3" s="2" t="n"/>
    </row>
    <row r="6">
      <c r="B6" s="19" t="inlineStr">
        <is>
          <t>Workbook Version</t>
        </is>
      </c>
      <c r="C6" s="20" t="inlineStr">
        <is>
          <t>0.1</t>
        </is>
      </c>
    </row>
    <row r="7">
      <c r="B7" s="19" t="inlineStr">
        <is>
          <t>Assessment Guide Version</t>
        </is>
      </c>
      <c r="C7" s="20" t="inlineStr">
        <is>
          <t>2.13</t>
        </is>
      </c>
    </row>
    <row r="8">
      <c r="B8" s="19" t="inlineStr">
        <is>
          <t>Maximum SPRS Score</t>
        </is>
      </c>
      <c r="C8" s="20" t="n">
        <v>110</v>
      </c>
    </row>
    <row r="9">
      <c r="B9" s="19" t="inlineStr">
        <is>
          <t>Minimum SPRS Score</t>
        </is>
      </c>
      <c r="C9" s="20" t="n">
        <v>-203</v>
      </c>
    </row>
    <row r="10">
      <c r="B10" s="19" t="inlineStr">
        <is>
          <t>Assessment Level</t>
        </is>
      </c>
      <c r="C10" s="20" t="inlineStr">
        <is>
          <t>CMMC Level 2</t>
        </is>
      </c>
    </row>
    <row r="11">
      <c r="B11" s="19" t="inlineStr">
        <is>
          <t>Workbook Generated By</t>
        </is>
      </c>
      <c r="C11" s="20" t="inlineStr">
        <is>
          <t>CMMC Assessment Platform</t>
        </is>
      </c>
    </row>
  </sheetData>
  <mergeCells count="2">
    <mergeCell ref="A1:H2"/>
    <mergeCell ref="A3:H3"/>
  </mergeCells>
  <pageMargins left="0.25" right="0.25" top="0.5" bottom="0.5" header="0.5" footer="0.5"/>
  <pageSetup orientation="landscape" fitToHeight="0" fitToWidth="1"/>
</worksheet>
</file>

<file path=xl/worksheets/sheet1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Assessment Status</t>
        </is>
      </c>
      <c r="B1" t="inlineStr">
        <is>
          <t>Evidence Status</t>
        </is>
      </c>
      <c r="C1" t="inlineStr">
        <is>
          <t>Yes / No</t>
        </is>
      </c>
    </row>
    <row r="2">
      <c r="A2" t="inlineStr">
        <is>
          <t>MET</t>
        </is>
      </c>
      <c r="B2" t="inlineStr">
        <is>
          <t>Not Started</t>
        </is>
      </c>
      <c r="C2" t="inlineStr">
        <is>
          <t>Yes</t>
        </is>
      </c>
    </row>
    <row r="3">
      <c r="A3" t="inlineStr">
        <is>
          <t>NOT MET</t>
        </is>
      </c>
      <c r="B3" t="inlineStr">
        <is>
          <t>In Progress</t>
        </is>
      </c>
      <c r="C3" t="inlineStr">
        <is>
          <t>No</t>
        </is>
      </c>
    </row>
    <row r="4">
      <c r="A4" t="inlineStr">
        <is>
          <t>NOT APPLICABLE</t>
        </is>
      </c>
      <c r="B4" t="inlineStr">
        <is>
          <t>Complete</t>
        </is>
      </c>
    </row>
    <row r="5">
      <c r="A5" t="inlineStr">
        <is>
          <t>NOT ASSESSED</t>
        </is>
      </c>
      <c r="B5" t="inlineStr">
        <is>
          <t>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2026-08-05T04:17:04Z</dcterms:created>
  <dcterms:modified xsi:type="dcterms:W3CDTF">2026-08-05T04:17:05Z</dcterms:modified>
</cp:coreProperties>
</file>